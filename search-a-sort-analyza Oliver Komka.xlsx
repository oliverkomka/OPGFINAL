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E8C9321-E18B-4E7B-8FFC-A89B87078CB3}" xr6:coauthVersionLast="47" xr6:coauthVersionMax="47" xr10:uidLastSave="{00000000-0000-0000-0000-000000000000}"/>
  <bookViews>
    <workbookView xWindow="-120" yWindow="-120" windowWidth="29040" windowHeight="15720" firstSheet="1" activeTab="3" xr2:uid="{00000000-000D-0000-FFFF-FFFF00000000}"/>
  </bookViews>
  <sheets>
    <sheet name="Search" sheetId="1" r:id="rId1"/>
    <sheet name="Sort rovnomerné data" sheetId="2" r:id="rId2"/>
    <sheet name="Sort kolísavo rastúce data" sheetId="3" r:id="rId3"/>
    <sheet name="Sort kolísavo klesajúce data" sheetId="4" r:id="rId4"/>
    <sheet name="Graf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Z5WAlGQs2XNBpKpuqKbtqzm2nld/PHieWG6EIH7K084="/>
    </ext>
  </extLst>
</workbook>
</file>

<file path=xl/calcChain.xml><?xml version="1.0" encoding="utf-8"?>
<calcChain xmlns="http://schemas.openxmlformats.org/spreadsheetml/2006/main">
  <c r="K25" i="4" l="1"/>
  <c r="D25" i="4"/>
  <c r="K25" i="3"/>
  <c r="R25" i="3"/>
  <c r="K25" i="2"/>
  <c r="D25" i="2"/>
  <c r="J25" i="4"/>
  <c r="X25" i="4"/>
  <c r="Q25" i="4"/>
  <c r="U13" i="4"/>
  <c r="R25" i="4" s="1"/>
  <c r="O13" i="4"/>
  <c r="I13" i="4"/>
  <c r="Q25" i="2"/>
  <c r="J25" i="2"/>
  <c r="X25" i="2"/>
  <c r="I13" i="2"/>
  <c r="U13" i="2"/>
  <c r="R25" i="2" s="1"/>
  <c r="O13" i="2"/>
  <c r="K23" i="3"/>
  <c r="D25" i="3"/>
  <c r="X25" i="3"/>
  <c r="Q25" i="3"/>
  <c r="J25" i="3"/>
  <c r="U13" i="3"/>
  <c r="O13" i="3"/>
  <c r="O11" i="3"/>
  <c r="I13" i="3"/>
  <c r="I12" i="3"/>
  <c r="D24" i="3" s="1"/>
  <c r="D18" i="2"/>
  <c r="D21" i="3"/>
  <c r="X24" i="4"/>
  <c r="Q24" i="4"/>
  <c r="K24" i="4"/>
  <c r="J24" i="4"/>
  <c r="X23" i="4"/>
  <c r="R23" i="4"/>
  <c r="Q23" i="4"/>
  <c r="K23" i="4"/>
  <c r="J23" i="4"/>
  <c r="X22" i="4"/>
  <c r="R22" i="4"/>
  <c r="Q22" i="4"/>
  <c r="K22" i="4"/>
  <c r="J22" i="4"/>
  <c r="D22" i="4"/>
  <c r="X21" i="4"/>
  <c r="Q21" i="4"/>
  <c r="K21" i="4"/>
  <c r="J21" i="4"/>
  <c r="X20" i="4"/>
  <c r="R20" i="4"/>
  <c r="Q20" i="4"/>
  <c r="K20" i="4"/>
  <c r="J20" i="4"/>
  <c r="D20" i="4"/>
  <c r="X19" i="4"/>
  <c r="R19" i="4"/>
  <c r="Q19" i="4"/>
  <c r="K19" i="4"/>
  <c r="J19" i="4"/>
  <c r="X18" i="4"/>
  <c r="R18" i="4"/>
  <c r="Q18" i="4"/>
  <c r="K18" i="4"/>
  <c r="J18" i="4"/>
  <c r="D18" i="4"/>
  <c r="U12" i="4"/>
  <c r="R24" i="4" s="1"/>
  <c r="O12" i="4"/>
  <c r="I12" i="4"/>
  <c r="D24" i="4" s="1"/>
  <c r="U11" i="4"/>
  <c r="O11" i="4"/>
  <c r="I11" i="4"/>
  <c r="D23" i="4" s="1"/>
  <c r="U10" i="4"/>
  <c r="O10" i="4"/>
  <c r="I10" i="4"/>
  <c r="U9" i="4"/>
  <c r="R21" i="4" s="1"/>
  <c r="O9" i="4"/>
  <c r="I9" i="4"/>
  <c r="D21" i="4" s="1"/>
  <c r="U8" i="4"/>
  <c r="O8" i="4"/>
  <c r="I8" i="4"/>
  <c r="U7" i="4"/>
  <c r="O7" i="4"/>
  <c r="I7" i="4"/>
  <c r="D19" i="4" s="1"/>
  <c r="U6" i="4"/>
  <c r="O6" i="4"/>
  <c r="I6" i="4"/>
  <c r="X24" i="3"/>
  <c r="Q24" i="3"/>
  <c r="J24" i="3"/>
  <c r="X23" i="3"/>
  <c r="Q23" i="3"/>
  <c r="J23" i="3"/>
  <c r="X22" i="3"/>
  <c r="Q22" i="3"/>
  <c r="J22" i="3"/>
  <c r="X21" i="3"/>
  <c r="Q21" i="3"/>
  <c r="J21" i="3"/>
  <c r="X20" i="3"/>
  <c r="Q20" i="3"/>
  <c r="K20" i="3"/>
  <c r="J20" i="3"/>
  <c r="X19" i="3"/>
  <c r="Q19" i="3"/>
  <c r="J19" i="3"/>
  <c r="X18" i="3"/>
  <c r="Q18" i="3"/>
  <c r="J18" i="3"/>
  <c r="U12" i="3"/>
  <c r="R24" i="3" s="1"/>
  <c r="O12" i="3"/>
  <c r="K24" i="3" s="1"/>
  <c r="U11" i="3"/>
  <c r="R23" i="3" s="1"/>
  <c r="I11" i="3"/>
  <c r="D23" i="3" s="1"/>
  <c r="U10" i="3"/>
  <c r="R22" i="3" s="1"/>
  <c r="O10" i="3"/>
  <c r="K22" i="3" s="1"/>
  <c r="I10" i="3"/>
  <c r="D22" i="3" s="1"/>
  <c r="U9" i="3"/>
  <c r="R21" i="3" s="1"/>
  <c r="O9" i="3"/>
  <c r="K21" i="3" s="1"/>
  <c r="I9" i="3"/>
  <c r="U8" i="3"/>
  <c r="R20" i="3" s="1"/>
  <c r="O8" i="3"/>
  <c r="I8" i="3"/>
  <c r="D20" i="3" s="1"/>
  <c r="U7" i="3"/>
  <c r="R19" i="3" s="1"/>
  <c r="O7" i="3"/>
  <c r="K19" i="3" s="1"/>
  <c r="I7" i="3"/>
  <c r="D19" i="3" s="1"/>
  <c r="U6" i="3"/>
  <c r="R18" i="3" s="1"/>
  <c r="O6" i="3"/>
  <c r="K18" i="3" s="1"/>
  <c r="I6" i="3"/>
  <c r="D18" i="3" s="1"/>
  <c r="X24" i="2"/>
  <c r="R24" i="2"/>
  <c r="Q24" i="2"/>
  <c r="J24" i="2"/>
  <c r="X23" i="2"/>
  <c r="Q23" i="2"/>
  <c r="K23" i="2"/>
  <c r="J23" i="2"/>
  <c r="X22" i="2"/>
  <c r="R22" i="2"/>
  <c r="Q22" i="2"/>
  <c r="J22" i="2"/>
  <c r="D22" i="2"/>
  <c r="X21" i="2"/>
  <c r="R21" i="2"/>
  <c r="Q21" i="2"/>
  <c r="K21" i="2"/>
  <c r="J21" i="2"/>
  <c r="X20" i="2"/>
  <c r="R20" i="2"/>
  <c r="Q20" i="2"/>
  <c r="J20" i="2"/>
  <c r="X19" i="2"/>
  <c r="Q19" i="2"/>
  <c r="K19" i="2"/>
  <c r="J19" i="2"/>
  <c r="X18" i="2"/>
  <c r="R18" i="2"/>
  <c r="Q18" i="2"/>
  <c r="K18" i="2"/>
  <c r="J18" i="2"/>
  <c r="U12" i="2"/>
  <c r="O12" i="2"/>
  <c r="K24" i="2" s="1"/>
  <c r="I12" i="2"/>
  <c r="D24" i="2" s="1"/>
  <c r="U11" i="2"/>
  <c r="R23" i="2" s="1"/>
  <c r="O11" i="2"/>
  <c r="I11" i="2"/>
  <c r="D23" i="2" s="1"/>
  <c r="U10" i="2"/>
  <c r="O10" i="2"/>
  <c r="K22" i="2" s="1"/>
  <c r="I10" i="2"/>
  <c r="U9" i="2"/>
  <c r="O9" i="2"/>
  <c r="I9" i="2"/>
  <c r="D21" i="2" s="1"/>
  <c r="U8" i="2"/>
  <c r="O8" i="2"/>
  <c r="K20" i="2" s="1"/>
  <c r="I8" i="2"/>
  <c r="D20" i="2" s="1"/>
  <c r="U7" i="2"/>
  <c r="R19" i="2" s="1"/>
  <c r="O7" i="2"/>
  <c r="I7" i="2"/>
  <c r="D19" i="2" s="1"/>
  <c r="U6" i="2"/>
  <c r="O6" i="2"/>
  <c r="I6" i="2"/>
  <c r="N24" i="1"/>
  <c r="M24" i="1"/>
  <c r="I24" i="1"/>
  <c r="H24" i="1"/>
  <c r="N19" i="1"/>
  <c r="M19" i="1"/>
  <c r="I19" i="1"/>
  <c r="N7" i="1"/>
  <c r="M7" i="1"/>
  <c r="I7" i="1"/>
  <c r="H7" i="1"/>
  <c r="H19" i="1" s="1"/>
</calcChain>
</file>

<file path=xl/sharedStrings.xml><?xml version="1.0" encoding="utf-8"?>
<sst xmlns="http://schemas.openxmlformats.org/spreadsheetml/2006/main" count="239" uniqueCount="49">
  <si>
    <t>Linear Search O(N)</t>
  </si>
  <si>
    <r>
      <rPr>
        <b/>
        <sz val="16"/>
        <color theme="1"/>
        <rFont val="Calibri"/>
      </rPr>
      <t>Binary Search O(log</t>
    </r>
    <r>
      <rPr>
        <b/>
        <sz val="10"/>
        <color theme="1"/>
        <rFont val="Calibri"/>
      </rPr>
      <t>(2)</t>
    </r>
    <r>
      <rPr>
        <b/>
        <sz val="16"/>
        <color theme="1"/>
        <rFont val="Calibri"/>
      </rPr>
      <t>N)</t>
    </r>
  </si>
  <si>
    <t>Hľadaná hodnota</t>
  </si>
  <si>
    <t>Na pozícii</t>
  </si>
  <si>
    <t>Doba hľadania (ms)</t>
  </si>
  <si>
    <t>Počet porovnaní</t>
  </si>
  <si>
    <t>Priemerná doba hľadania(ms)</t>
  </si>
  <si>
    <t>Priemerný počet porovnaní</t>
  </si>
  <si>
    <t>Sada N1=</t>
  </si>
  <si>
    <t>teoretická</t>
  </si>
  <si>
    <t>teoretický</t>
  </si>
  <si>
    <t>skutočná</t>
  </si>
  <si>
    <t>skutočný</t>
  </si>
  <si>
    <t>Sada N2=</t>
  </si>
  <si>
    <t>Sada N=</t>
  </si>
  <si>
    <t xml:space="preserve">Random </t>
  </si>
  <si>
    <t>Počet priradení</t>
  </si>
  <si>
    <t>Algoritmus</t>
  </si>
  <si>
    <t>Výpočtová zložitosť</t>
  </si>
  <si>
    <t>Priemer</t>
  </si>
  <si>
    <t>Bubble Sort</t>
  </si>
  <si>
    <t>O(n²)</t>
  </si>
  <si>
    <t>Select Sort</t>
  </si>
  <si>
    <t>Insert Sort</t>
  </si>
  <si>
    <t>Insert Sort + Binary Search</t>
  </si>
  <si>
    <t>Quick Sort</t>
  </si>
  <si>
    <t>O(n * log(n))</t>
  </si>
  <si>
    <t>Merge Sort</t>
  </si>
  <si>
    <t>Radix Sort</t>
  </si>
  <si>
    <t>O(k * n)</t>
  </si>
  <si>
    <t>Odhad</t>
  </si>
  <si>
    <t>Random UP</t>
  </si>
  <si>
    <t>Random Down</t>
  </si>
  <si>
    <t>Binary Search O(log₂N)</t>
  </si>
  <si>
    <t>Priemer N1 Random</t>
  </si>
  <si>
    <t>Odhad N2 Random</t>
  </si>
  <si>
    <t>Priemer N1 RandUp</t>
  </si>
  <si>
    <t>Odhad N2 RandUp</t>
  </si>
  <si>
    <t>Priemer N1 RandDown</t>
  </si>
  <si>
    <t>Odhad N2 RandDown</t>
  </si>
  <si>
    <t>Insert+Binary Search</t>
  </si>
  <si>
    <t>Priemer N2 Random</t>
  </si>
  <si>
    <t>Priemer N2 RandUp</t>
  </si>
  <si>
    <t>Priemer N2 RandDown</t>
  </si>
  <si>
    <t xml:space="preserve">                        |  Priemerný počet porovaní  |  Priemerná doba hľadania (ms)  |  Teoretická doba (ms)  |  Skutočná doba (ms)
------------------------+----------------------------+--------------------------------+------------------------+--------------------
Linear Search O(N)      |  8015609                   |  219.73                        |  2197.33               |  2347.64           
Binary Search O(log₂N)  |  81.5                      |  0.011                         |  0.012                 |  0.019             </t>
  </si>
  <si>
    <t>Priemerná doba hľadania (ms)</t>
  </si>
  <si>
    <t>Tree Sort</t>
  </si>
  <si>
    <t xml:space="preserve">	822.44</t>
  </si>
  <si>
    <t>O(n log 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</si>
</sst>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sz val="11"/>
      <color theme="0"/>
      <name val="Calibri"/>
    </font>
    <font>
      <b/>
      <sz val="16"/>
      <color theme="1"/>
      <name val="Calibri"/>
    </font>
    <font>
      <sz val="11"/>
      <name val="Calibri"/>
    </font>
    <font>
      <b/>
      <sz val="11"/>
      <color theme="1"/>
      <name val="Calibri"/>
    </font>
    <font>
      <sz val="16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20"/>
      <color theme="1"/>
      <name val="Calibri"/>
    </font>
    <font>
      <sz val="18"/>
      <color theme="1"/>
      <name val="Calibri"/>
    </font>
    <font>
      <b/>
      <sz val="12"/>
      <color theme="1"/>
      <name val="Calibri"/>
    </font>
    <font>
      <b/>
      <sz val="14"/>
      <color theme="1"/>
      <name val="Calibri"/>
    </font>
    <font>
      <b/>
      <sz val="10"/>
      <color theme="1"/>
      <name val="Calibri"/>
    </font>
    <font>
      <b/>
      <sz val="11"/>
      <color theme="1"/>
      <name val="Calibri"/>
      <scheme val="minor"/>
    </font>
    <font>
      <b/>
      <sz val="11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6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/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6" fillId="0" borderId="11" xfId="0" applyFont="1" applyBorder="1"/>
    <xf numFmtId="0" fontId="6" fillId="0" borderId="12" xfId="0" applyFont="1" applyBorder="1"/>
    <xf numFmtId="4" fontId="6" fillId="0" borderId="13" xfId="0" applyNumberFormat="1" applyFont="1" applyBorder="1"/>
    <xf numFmtId="0" fontId="6" fillId="0" borderId="13" xfId="0" applyFont="1" applyBorder="1"/>
    <xf numFmtId="0" fontId="6" fillId="0" borderId="9" xfId="0" applyFont="1" applyBorder="1"/>
    <xf numFmtId="0" fontId="6" fillId="0" borderId="2" xfId="0" applyFont="1" applyBorder="1"/>
    <xf numFmtId="0" fontId="6" fillId="0" borderId="8" xfId="0" applyFont="1" applyBorder="1"/>
    <xf numFmtId="0" fontId="6" fillId="0" borderId="15" xfId="0" applyFont="1" applyBorder="1" applyAlignment="1">
      <alignment horizontal="center"/>
    </xf>
    <xf numFmtId="0" fontId="6" fillId="0" borderId="16" xfId="0" applyFont="1" applyBorder="1"/>
    <xf numFmtId="0" fontId="6" fillId="0" borderId="17" xfId="0" applyFont="1" applyBorder="1"/>
    <xf numFmtId="4" fontId="6" fillId="0" borderId="18" xfId="0" applyNumberFormat="1" applyFont="1" applyBorder="1"/>
    <xf numFmtId="0" fontId="6" fillId="0" borderId="18" xfId="0" applyFont="1" applyBorder="1"/>
    <xf numFmtId="0" fontId="6" fillId="0" borderId="20" xfId="0" applyFont="1" applyBorder="1"/>
    <xf numFmtId="0" fontId="6" fillId="0" borderId="21" xfId="0" applyFont="1" applyBorder="1"/>
    <xf numFmtId="0" fontId="6" fillId="0" borderId="16" xfId="0" applyFont="1" applyBorder="1" applyAlignment="1">
      <alignment horizontal="center"/>
    </xf>
    <xf numFmtId="0" fontId="6" fillId="0" borderId="22" xfId="0" applyFont="1" applyBorder="1"/>
    <xf numFmtId="4" fontId="6" fillId="0" borderId="16" xfId="0" applyNumberFormat="1" applyFont="1" applyBorder="1"/>
    <xf numFmtId="0" fontId="6" fillId="0" borderId="15" xfId="0" applyFont="1" applyBorder="1"/>
    <xf numFmtId="0" fontId="6" fillId="0" borderId="19" xfId="0" applyFont="1" applyBorder="1"/>
    <xf numFmtId="0" fontId="6" fillId="0" borderId="23" xfId="0" applyFont="1" applyBorder="1"/>
    <xf numFmtId="4" fontId="7" fillId="0" borderId="0" xfId="0" applyNumberFormat="1" applyFont="1"/>
    <xf numFmtId="0" fontId="6" fillId="0" borderId="24" xfId="0" applyFont="1" applyBorder="1"/>
    <xf numFmtId="0" fontId="6" fillId="0" borderId="25" xfId="0" applyFont="1" applyBorder="1"/>
    <xf numFmtId="0" fontId="6" fillId="0" borderId="26" xfId="0" applyFont="1" applyBorder="1"/>
    <xf numFmtId="0" fontId="6" fillId="0" borderId="27" xfId="0" applyFont="1" applyBorder="1"/>
    <xf numFmtId="0" fontId="6" fillId="0" borderId="30" xfId="0" applyFont="1" applyBorder="1"/>
    <xf numFmtId="0" fontId="6" fillId="0" borderId="31" xfId="0" applyFont="1" applyBorder="1"/>
    <xf numFmtId="0" fontId="6" fillId="0" borderId="33" xfId="0" applyFont="1" applyBorder="1" applyAlignment="1">
      <alignment horizontal="center"/>
    </xf>
    <xf numFmtId="0" fontId="6" fillId="0" borderId="34" xfId="0" applyFont="1" applyBorder="1"/>
    <xf numFmtId="0" fontId="6" fillId="0" borderId="35" xfId="0" applyFont="1" applyBorder="1"/>
    <xf numFmtId="4" fontId="6" fillId="0" borderId="33" xfId="0" applyNumberFormat="1" applyFont="1" applyBorder="1"/>
    <xf numFmtId="0" fontId="6" fillId="0" borderId="36" xfId="0" applyFont="1" applyBorder="1"/>
    <xf numFmtId="0" fontId="6" fillId="0" borderId="38" xfId="0" applyFont="1" applyBorder="1"/>
    <xf numFmtId="0" fontId="6" fillId="0" borderId="40" xfId="0" applyFont="1" applyBorder="1" applyAlignment="1">
      <alignment horizontal="center"/>
    </xf>
    <xf numFmtId="0" fontId="6" fillId="0" borderId="41" xfId="0" applyFont="1" applyBorder="1"/>
    <xf numFmtId="4" fontId="6" fillId="0" borderId="12" xfId="0" applyNumberFormat="1" applyFont="1" applyBorder="1"/>
    <xf numFmtId="0" fontId="6" fillId="0" borderId="42" xfId="0" applyFont="1" applyBorder="1"/>
    <xf numFmtId="0" fontId="6" fillId="0" borderId="43" xfId="0" applyFont="1" applyBorder="1"/>
    <xf numFmtId="0" fontId="6" fillId="0" borderId="44" xfId="0" applyFont="1" applyBorder="1"/>
    <xf numFmtId="4" fontId="6" fillId="0" borderId="17" xfId="0" applyNumberFormat="1" applyFont="1" applyBorder="1"/>
    <xf numFmtId="0" fontId="6" fillId="0" borderId="51" xfId="0" applyFont="1" applyBorder="1" applyAlignment="1">
      <alignment horizontal="center"/>
    </xf>
    <xf numFmtId="0" fontId="6" fillId="0" borderId="52" xfId="0" applyFont="1" applyBorder="1"/>
    <xf numFmtId="4" fontId="6" fillId="0" borderId="35" xfId="0" applyNumberFormat="1" applyFont="1" applyBorder="1"/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0" fillId="0" borderId="5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2" fillId="0" borderId="43" xfId="0" applyFont="1" applyBorder="1"/>
    <xf numFmtId="0" fontId="11" fillId="0" borderId="40" xfId="0" applyFont="1" applyBorder="1" applyAlignment="1">
      <alignment horizontal="center"/>
    </xf>
    <xf numFmtId="0" fontId="6" fillId="0" borderId="58" xfId="0" applyFont="1" applyBorder="1"/>
    <xf numFmtId="0" fontId="2" fillId="0" borderId="25" xfId="0" applyFont="1" applyBorder="1"/>
    <xf numFmtId="0" fontId="7" fillId="0" borderId="0" xfId="0" applyFont="1"/>
    <xf numFmtId="0" fontId="2" fillId="0" borderId="59" xfId="0" applyFont="1" applyBorder="1"/>
    <xf numFmtId="0" fontId="2" fillId="0" borderId="52" xfId="0" applyFont="1" applyBorder="1"/>
    <xf numFmtId="0" fontId="6" fillId="0" borderId="60" xfId="0" applyFont="1" applyBorder="1"/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61" xfId="0" applyFont="1" applyBorder="1" applyAlignment="1">
      <alignment horizontal="center" vertical="center" wrapText="1"/>
    </xf>
    <xf numFmtId="0" fontId="11" fillId="0" borderId="62" xfId="0" applyFont="1" applyBorder="1" applyAlignment="1">
      <alignment horizontal="center"/>
    </xf>
    <xf numFmtId="0" fontId="6" fillId="0" borderId="63" xfId="0" applyFont="1" applyBorder="1"/>
    <xf numFmtId="0" fontId="6" fillId="0" borderId="62" xfId="0" applyFont="1" applyBorder="1"/>
    <xf numFmtId="0" fontId="11" fillId="0" borderId="25" xfId="0" applyFont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6" fillId="0" borderId="59" xfId="0" applyFont="1" applyBorder="1"/>
    <xf numFmtId="0" fontId="11" fillId="0" borderId="52" xfId="0" applyFont="1" applyBorder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4" fillId="2" borderId="64" xfId="0" applyFont="1" applyFill="1" applyBorder="1" applyAlignment="1">
      <alignment horizontal="left" vertical="center" wrapText="1"/>
    </xf>
    <xf numFmtId="0" fontId="15" fillId="0" borderId="64" xfId="0" applyFont="1" applyBorder="1" applyAlignment="1">
      <alignment horizontal="left" vertical="center" wrapText="1"/>
    </xf>
    <xf numFmtId="2" fontId="16" fillId="0" borderId="0" xfId="0" applyNumberFormat="1" applyFont="1"/>
    <xf numFmtId="2" fontId="0" fillId="0" borderId="0" xfId="0" applyNumberFormat="1"/>
    <xf numFmtId="0" fontId="16" fillId="0" borderId="0" xfId="0" applyFont="1" applyAlignment="1">
      <alignment wrapText="1"/>
    </xf>
    <xf numFmtId="3" fontId="15" fillId="0" borderId="64" xfId="0" applyNumberFormat="1" applyFont="1" applyBorder="1" applyAlignment="1">
      <alignment horizontal="left" vertical="center" wrapText="1"/>
    </xf>
    <xf numFmtId="4" fontId="15" fillId="0" borderId="64" xfId="0" applyNumberFormat="1" applyFont="1" applyBorder="1" applyAlignment="1">
      <alignment horizontal="left" vertical="center" wrapText="1"/>
    </xf>
    <xf numFmtId="0" fontId="2" fillId="0" borderId="65" xfId="0" applyFont="1" applyBorder="1"/>
    <xf numFmtId="0" fontId="6" fillId="0" borderId="66" xfId="0" applyFont="1" applyBorder="1"/>
    <xf numFmtId="0" fontId="8" fillId="0" borderId="54" xfId="0" applyFont="1" applyBorder="1" applyAlignment="1">
      <alignment horizontal="right"/>
    </xf>
    <xf numFmtId="0" fontId="3" fillId="0" borderId="55" xfId="0" applyFont="1" applyBorder="1"/>
    <xf numFmtId="0" fontId="8" fillId="0" borderId="55" xfId="0" applyFont="1" applyBorder="1" applyAlignment="1">
      <alignment horizontal="left"/>
    </xf>
    <xf numFmtId="0" fontId="3" fillId="0" borderId="56" xfId="0" applyFont="1" applyBorder="1"/>
    <xf numFmtId="0" fontId="9" fillId="0" borderId="54" xfId="0" applyFont="1" applyBorder="1" applyAlignment="1">
      <alignment horizontal="center"/>
    </xf>
    <xf numFmtId="0" fontId="4" fillId="0" borderId="29" xfId="0" applyFont="1" applyBorder="1" applyAlignment="1">
      <alignment horizontal="center" vertical="center"/>
    </xf>
    <xf numFmtId="0" fontId="3" fillId="0" borderId="28" xfId="0" applyFont="1" applyBorder="1"/>
    <xf numFmtId="0" fontId="6" fillId="0" borderId="49" xfId="0" applyFont="1" applyBorder="1" applyAlignment="1">
      <alignment horizontal="center" vertical="center"/>
    </xf>
    <xf numFmtId="0" fontId="3" fillId="0" borderId="30" xfId="0" applyFont="1" applyBorder="1"/>
    <xf numFmtId="0" fontId="3" fillId="0" borderId="53" xfId="0" applyFont="1" applyBorder="1"/>
    <xf numFmtId="0" fontId="6" fillId="0" borderId="29" xfId="0" applyFont="1" applyBorder="1" applyAlignment="1">
      <alignment horizontal="center" vertical="center"/>
    </xf>
    <xf numFmtId="0" fontId="3" fillId="0" borderId="14" xfId="0" applyFont="1" applyBorder="1"/>
    <xf numFmtId="0" fontId="3" fillId="0" borderId="32" xfId="0" applyFont="1" applyBorder="1"/>
    <xf numFmtId="0" fontId="4" fillId="0" borderId="3" xfId="0" applyFont="1" applyBorder="1" applyAlignment="1">
      <alignment horizontal="center" vertical="center"/>
    </xf>
    <xf numFmtId="0" fontId="3" fillId="0" borderId="45" xfId="0" applyFont="1" applyBorder="1"/>
    <xf numFmtId="0" fontId="4" fillId="0" borderId="2" xfId="0" applyFont="1" applyBorder="1" applyAlignment="1">
      <alignment horizontal="center" vertical="center"/>
    </xf>
    <xf numFmtId="0" fontId="3" fillId="0" borderId="46" xfId="0" applyFont="1" applyBorder="1"/>
    <xf numFmtId="0" fontId="4" fillId="0" borderId="4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3" fillId="0" borderId="19" xfId="0" applyFont="1" applyBorder="1"/>
    <xf numFmtId="0" fontId="3" fillId="0" borderId="50" xfId="0" applyFont="1" applyBorder="1"/>
    <xf numFmtId="0" fontId="5" fillId="0" borderId="29" xfId="0" applyFont="1" applyBorder="1" applyAlignment="1">
      <alignment horizontal="center" vertical="center" textRotation="90"/>
    </xf>
    <xf numFmtId="3" fontId="5" fillId="0" borderId="4" xfId="0" applyNumberFormat="1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4" fontId="6" fillId="0" borderId="1" xfId="0" applyNumberFormat="1" applyFont="1" applyBorder="1" applyAlignment="1">
      <alignment horizontal="center" vertical="center"/>
    </xf>
    <xf numFmtId="0" fontId="3" fillId="0" borderId="37" xfId="0" applyFont="1" applyBorder="1"/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0" xfId="0"/>
    <xf numFmtId="0" fontId="3" fillId="0" borderId="39" xfId="0" applyFont="1" applyBorder="1"/>
    <xf numFmtId="0" fontId="6" fillId="0" borderId="47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4" fontId="6" fillId="0" borderId="4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I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6262416"/>
        <c:axId val="1966263856"/>
      </c:barChart>
      <c:catAx>
        <c:axId val="1966262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I"/>
          </a:p>
        </c:txPr>
        <c:crossAx val="1966263856"/>
        <c:crosses val="autoZero"/>
        <c:auto val="1"/>
        <c:lblAlgn val="ctr"/>
        <c:lblOffset val="100"/>
        <c:noMultiLvlLbl val="0"/>
      </c:catAx>
      <c:valAx>
        <c:axId val="196626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I"/>
          </a:p>
        </c:txPr>
        <c:crossAx val="196626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sorty</a:t>
            </a:r>
            <a:r>
              <a:rPr lang="en-US" baseline="0"/>
              <a:t>- doba zoradovania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Grafy!$N$19</c:f>
              <c:strCache>
                <c:ptCount val="1"/>
                <c:pt idx="0">
                  <c:v>Bubble Sort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Grafy!$O$17:$T$18</c:f>
              <c:strCache>
                <c:ptCount val="6"/>
                <c:pt idx="0">
                  <c:v>Priemer N1 Random</c:v>
                </c:pt>
                <c:pt idx="1">
                  <c:v>Odhad N2 Random</c:v>
                </c:pt>
                <c:pt idx="2">
                  <c:v>Priemer N1 RandUp</c:v>
                </c:pt>
                <c:pt idx="3">
                  <c:v>Odhad N2 RandUp</c:v>
                </c:pt>
                <c:pt idx="4">
                  <c:v>Priemer N1 RandDown</c:v>
                </c:pt>
                <c:pt idx="5">
                  <c:v>Odhad N2 RandDown</c:v>
                </c:pt>
              </c:strCache>
            </c:strRef>
          </c:cat>
          <c:val>
            <c:numRef>
              <c:f>Grafy!$O$19:$T$19</c:f>
              <c:numCache>
                <c:formatCode>General</c:formatCode>
                <c:ptCount val="6"/>
                <c:pt idx="0">
                  <c:v>4786.66</c:v>
                </c:pt>
                <c:pt idx="1">
                  <c:v>18051.150000000001</c:v>
                </c:pt>
                <c:pt idx="2">
                  <c:v>19.079999999999998</c:v>
                </c:pt>
                <c:pt idx="3">
                  <c:v>77.63</c:v>
                </c:pt>
                <c:pt idx="4">
                  <c:v>5529.68</c:v>
                </c:pt>
                <c:pt idx="5">
                  <c:v>23988.16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15-422C-AF9F-6CADF16D5848}"/>
            </c:ext>
          </c:extLst>
        </c:ser>
        <c:ser>
          <c:idx val="1"/>
          <c:order val="1"/>
          <c:tx>
            <c:strRef>
              <c:f>Grafy!$N$20</c:f>
              <c:strCache>
                <c:ptCount val="1"/>
                <c:pt idx="0">
                  <c:v>Select Sort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Grafy!$O$17:$T$18</c:f>
              <c:strCache>
                <c:ptCount val="6"/>
                <c:pt idx="0">
                  <c:v>Priemer N1 Random</c:v>
                </c:pt>
                <c:pt idx="1">
                  <c:v>Odhad N2 Random</c:v>
                </c:pt>
                <c:pt idx="2">
                  <c:v>Priemer N1 RandUp</c:v>
                </c:pt>
                <c:pt idx="3">
                  <c:v>Odhad N2 RandUp</c:v>
                </c:pt>
                <c:pt idx="4">
                  <c:v>Priemer N1 RandDown</c:v>
                </c:pt>
                <c:pt idx="5">
                  <c:v>Odhad N2 RandDown</c:v>
                </c:pt>
              </c:strCache>
            </c:strRef>
          </c:cat>
          <c:val>
            <c:numRef>
              <c:f>Grafy!$O$20:$T$20</c:f>
              <c:numCache>
                <c:formatCode>General</c:formatCode>
                <c:ptCount val="6"/>
                <c:pt idx="0">
                  <c:v>1992.29</c:v>
                </c:pt>
                <c:pt idx="1">
                  <c:v>7744.4</c:v>
                </c:pt>
                <c:pt idx="2">
                  <c:v>1872.63</c:v>
                </c:pt>
                <c:pt idx="3">
                  <c:v>7490.5</c:v>
                </c:pt>
                <c:pt idx="4">
                  <c:v>1923.2</c:v>
                </c:pt>
                <c:pt idx="5">
                  <c:v>8503.41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15-422C-AF9F-6CADF16D5848}"/>
            </c:ext>
          </c:extLst>
        </c:ser>
        <c:ser>
          <c:idx val="2"/>
          <c:order val="2"/>
          <c:tx>
            <c:strRef>
              <c:f>Grafy!$N$21</c:f>
              <c:strCache>
                <c:ptCount val="1"/>
                <c:pt idx="0">
                  <c:v>Insert Sort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Grafy!$O$17:$T$18</c:f>
              <c:strCache>
                <c:ptCount val="6"/>
                <c:pt idx="0">
                  <c:v>Priemer N1 Random</c:v>
                </c:pt>
                <c:pt idx="1">
                  <c:v>Odhad N2 Random</c:v>
                </c:pt>
                <c:pt idx="2">
                  <c:v>Priemer N1 RandUp</c:v>
                </c:pt>
                <c:pt idx="3">
                  <c:v>Odhad N2 RandUp</c:v>
                </c:pt>
                <c:pt idx="4">
                  <c:v>Priemer N1 RandDown</c:v>
                </c:pt>
                <c:pt idx="5">
                  <c:v>Odhad N2 RandDown</c:v>
                </c:pt>
              </c:strCache>
            </c:strRef>
          </c:cat>
          <c:val>
            <c:numRef>
              <c:f>Grafy!$O$21:$T$21</c:f>
              <c:numCache>
                <c:formatCode>General</c:formatCode>
                <c:ptCount val="6"/>
                <c:pt idx="0">
                  <c:v>2623.34</c:v>
                </c:pt>
                <c:pt idx="1">
                  <c:v>10927.39</c:v>
                </c:pt>
                <c:pt idx="2">
                  <c:v>11.95</c:v>
                </c:pt>
                <c:pt idx="3">
                  <c:v>21.21</c:v>
                </c:pt>
                <c:pt idx="4">
                  <c:v>4922.99</c:v>
                </c:pt>
                <c:pt idx="5">
                  <c:v>21044.53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15-422C-AF9F-6CADF16D5848}"/>
            </c:ext>
          </c:extLst>
        </c:ser>
        <c:ser>
          <c:idx val="3"/>
          <c:order val="3"/>
          <c:tx>
            <c:strRef>
              <c:f>Grafy!$N$22</c:f>
              <c:strCache>
                <c:ptCount val="1"/>
                <c:pt idx="0">
                  <c:v>Insert+Binary Search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Grafy!$O$17:$T$18</c:f>
              <c:strCache>
                <c:ptCount val="6"/>
                <c:pt idx="0">
                  <c:v>Priemer N1 Random</c:v>
                </c:pt>
                <c:pt idx="1">
                  <c:v>Odhad N2 Random</c:v>
                </c:pt>
                <c:pt idx="2">
                  <c:v>Priemer N1 RandUp</c:v>
                </c:pt>
                <c:pt idx="3">
                  <c:v>Odhad N2 RandUp</c:v>
                </c:pt>
                <c:pt idx="4">
                  <c:v>Priemer N1 RandDown</c:v>
                </c:pt>
                <c:pt idx="5">
                  <c:v>Odhad N2 RandDown</c:v>
                </c:pt>
              </c:strCache>
            </c:strRef>
          </c:cat>
          <c:val>
            <c:numRef>
              <c:f>Grafy!$O$22:$T$22</c:f>
              <c:numCache>
                <c:formatCode>General</c:formatCode>
                <c:ptCount val="6"/>
                <c:pt idx="0">
                  <c:v>1382.89</c:v>
                </c:pt>
                <c:pt idx="1">
                  <c:v>5655.97</c:v>
                </c:pt>
                <c:pt idx="2">
                  <c:v>10.97</c:v>
                </c:pt>
                <c:pt idx="3">
                  <c:v>43.86</c:v>
                </c:pt>
                <c:pt idx="4">
                  <c:v>2544.67</c:v>
                </c:pt>
                <c:pt idx="5">
                  <c:v>22573.31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15-422C-AF9F-6CADF16D5848}"/>
            </c:ext>
          </c:extLst>
        </c:ser>
        <c:ser>
          <c:idx val="4"/>
          <c:order val="4"/>
          <c:tx>
            <c:strRef>
              <c:f>Grafy!$N$23</c:f>
              <c:strCache>
                <c:ptCount val="1"/>
                <c:pt idx="0">
                  <c:v>Quick Sort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Grafy!$O$17:$T$18</c:f>
              <c:strCache>
                <c:ptCount val="6"/>
                <c:pt idx="0">
                  <c:v>Priemer N1 Random</c:v>
                </c:pt>
                <c:pt idx="1">
                  <c:v>Odhad N2 Random</c:v>
                </c:pt>
                <c:pt idx="2">
                  <c:v>Priemer N1 RandUp</c:v>
                </c:pt>
                <c:pt idx="3">
                  <c:v>Odhad N2 RandUp</c:v>
                </c:pt>
                <c:pt idx="4">
                  <c:v>Priemer N1 RandDown</c:v>
                </c:pt>
                <c:pt idx="5">
                  <c:v>Odhad N2 RandDown</c:v>
                </c:pt>
              </c:strCache>
            </c:strRef>
          </c:cat>
          <c:val>
            <c:numRef>
              <c:f>Grafy!$O$23:$T$23</c:f>
              <c:numCache>
                <c:formatCode>General</c:formatCode>
                <c:ptCount val="6"/>
                <c:pt idx="0">
                  <c:v>13</c:v>
                </c:pt>
                <c:pt idx="1">
                  <c:v>27.96</c:v>
                </c:pt>
                <c:pt idx="2">
                  <c:v>1599.81</c:v>
                </c:pt>
                <c:pt idx="3">
                  <c:v>3440.41</c:v>
                </c:pt>
                <c:pt idx="4">
                  <c:v>1236.8800000000001</c:v>
                </c:pt>
                <c:pt idx="5">
                  <c:v>5456.14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15-422C-AF9F-6CADF16D5848}"/>
            </c:ext>
          </c:extLst>
        </c:ser>
        <c:ser>
          <c:idx val="5"/>
          <c:order val="5"/>
          <c:tx>
            <c:strRef>
              <c:f>Grafy!$N$24</c:f>
              <c:strCache>
                <c:ptCount val="1"/>
                <c:pt idx="0">
                  <c:v>Merge Sort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Grafy!$O$17:$T$18</c:f>
              <c:strCache>
                <c:ptCount val="6"/>
                <c:pt idx="0">
                  <c:v>Priemer N1 Random</c:v>
                </c:pt>
                <c:pt idx="1">
                  <c:v>Odhad N2 Random</c:v>
                </c:pt>
                <c:pt idx="2">
                  <c:v>Priemer N1 RandUp</c:v>
                </c:pt>
                <c:pt idx="3">
                  <c:v>Odhad N2 RandUp</c:v>
                </c:pt>
                <c:pt idx="4">
                  <c:v>Priemer N1 RandDown</c:v>
                </c:pt>
                <c:pt idx="5">
                  <c:v>Odhad N2 RandDown</c:v>
                </c:pt>
              </c:strCache>
            </c:strRef>
          </c:cat>
          <c:val>
            <c:numRef>
              <c:f>Grafy!$O$24:$T$24</c:f>
              <c:numCache>
                <c:formatCode>General</c:formatCode>
                <c:ptCount val="6"/>
                <c:pt idx="0">
                  <c:v>19.010000000000002</c:v>
                </c:pt>
                <c:pt idx="1">
                  <c:v>41.42</c:v>
                </c:pt>
                <c:pt idx="2">
                  <c:v>16.41</c:v>
                </c:pt>
                <c:pt idx="3">
                  <c:v>35.29</c:v>
                </c:pt>
                <c:pt idx="4">
                  <c:v>15.44</c:v>
                </c:pt>
                <c:pt idx="5">
                  <c:v>32.08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715-422C-AF9F-6CADF16D5848}"/>
            </c:ext>
          </c:extLst>
        </c:ser>
        <c:ser>
          <c:idx val="6"/>
          <c:order val="6"/>
          <c:tx>
            <c:strRef>
              <c:f>Grafy!$N$25</c:f>
              <c:strCache>
                <c:ptCount val="1"/>
                <c:pt idx="0">
                  <c:v>Radix Sort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Grafy!$O$17:$T$18</c:f>
              <c:strCache>
                <c:ptCount val="6"/>
                <c:pt idx="0">
                  <c:v>Priemer N1 Random</c:v>
                </c:pt>
                <c:pt idx="1">
                  <c:v>Odhad N2 Random</c:v>
                </c:pt>
                <c:pt idx="2">
                  <c:v>Priemer N1 RandUp</c:v>
                </c:pt>
                <c:pt idx="3">
                  <c:v>Odhad N2 RandUp</c:v>
                </c:pt>
                <c:pt idx="4">
                  <c:v>Priemer N1 RandDown</c:v>
                </c:pt>
                <c:pt idx="5">
                  <c:v>Odhad N2 RandDown</c:v>
                </c:pt>
              </c:strCache>
            </c:strRef>
          </c:cat>
          <c:val>
            <c:numRef>
              <c:f>Grafy!$O$25:$T$25</c:f>
              <c:numCache>
                <c:formatCode>General</c:formatCode>
                <c:ptCount val="6"/>
                <c:pt idx="0">
                  <c:v>8.8000000000000007</c:v>
                </c:pt>
                <c:pt idx="1">
                  <c:v>17.600000000000001</c:v>
                </c:pt>
                <c:pt idx="2">
                  <c:v>7.4</c:v>
                </c:pt>
                <c:pt idx="3">
                  <c:v>14.8</c:v>
                </c:pt>
                <c:pt idx="4">
                  <c:v>7.41</c:v>
                </c:pt>
                <c:pt idx="5">
                  <c:v>14.83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15-422C-AF9F-6CADF16D5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5630447"/>
        <c:axId val="1855627567"/>
      </c:barChart>
      <c:catAx>
        <c:axId val="185563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I"/>
          </a:p>
        </c:txPr>
        <c:crossAx val="1855627567"/>
        <c:crosses val="autoZero"/>
        <c:auto val="1"/>
        <c:lblAlgn val="ctr"/>
        <c:lblOffset val="100"/>
        <c:noMultiLvlLbl val="0"/>
      </c:catAx>
      <c:valAx>
        <c:axId val="185562756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I"/>
          </a:p>
        </c:txPr>
        <c:crossAx val="1855630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I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sorty</a:t>
            </a:r>
            <a:r>
              <a:rPr lang="en-US" baseline="0"/>
              <a:t> doba(os y linear)</a:t>
            </a:r>
            <a:endParaRPr lang="en-US"/>
          </a:p>
        </c:rich>
      </c:tx>
      <c:layout>
        <c:manualLayout>
          <c:xMode val="edge"/>
          <c:yMode val="edge"/>
          <c:x val="0.4094930008748907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Grafy!$N$19</c:f>
              <c:strCache>
                <c:ptCount val="1"/>
                <c:pt idx="0">
                  <c:v>Bubble Sort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Grafy!$O$18:$T$18</c:f>
              <c:strCache>
                <c:ptCount val="6"/>
                <c:pt idx="0">
                  <c:v>Priemer N1 Random</c:v>
                </c:pt>
                <c:pt idx="1">
                  <c:v>Odhad N2 Random</c:v>
                </c:pt>
                <c:pt idx="2">
                  <c:v>Priemer N1 RandUp</c:v>
                </c:pt>
                <c:pt idx="3">
                  <c:v>Odhad N2 RandUp</c:v>
                </c:pt>
                <c:pt idx="4">
                  <c:v>Priemer N1 RandDown</c:v>
                </c:pt>
                <c:pt idx="5">
                  <c:v>Odhad N2 RandDown</c:v>
                </c:pt>
              </c:strCache>
            </c:strRef>
          </c:cat>
          <c:val>
            <c:numRef>
              <c:f>Grafy!$O$19:$T$19</c:f>
              <c:numCache>
                <c:formatCode>General</c:formatCode>
                <c:ptCount val="6"/>
                <c:pt idx="0">
                  <c:v>4786.66</c:v>
                </c:pt>
                <c:pt idx="1">
                  <c:v>18051.150000000001</c:v>
                </c:pt>
                <c:pt idx="2">
                  <c:v>19.079999999999998</c:v>
                </c:pt>
                <c:pt idx="3">
                  <c:v>77.63</c:v>
                </c:pt>
                <c:pt idx="4">
                  <c:v>5529.68</c:v>
                </c:pt>
                <c:pt idx="5">
                  <c:v>23988.16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7D-42E9-B816-A92761AE17E7}"/>
            </c:ext>
          </c:extLst>
        </c:ser>
        <c:ser>
          <c:idx val="1"/>
          <c:order val="1"/>
          <c:tx>
            <c:strRef>
              <c:f>Grafy!$N$20</c:f>
              <c:strCache>
                <c:ptCount val="1"/>
                <c:pt idx="0">
                  <c:v>Select Sort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Grafy!$O$18:$T$18</c:f>
              <c:strCache>
                <c:ptCount val="6"/>
                <c:pt idx="0">
                  <c:v>Priemer N1 Random</c:v>
                </c:pt>
                <c:pt idx="1">
                  <c:v>Odhad N2 Random</c:v>
                </c:pt>
                <c:pt idx="2">
                  <c:v>Priemer N1 RandUp</c:v>
                </c:pt>
                <c:pt idx="3">
                  <c:v>Odhad N2 RandUp</c:v>
                </c:pt>
                <c:pt idx="4">
                  <c:v>Priemer N1 RandDown</c:v>
                </c:pt>
                <c:pt idx="5">
                  <c:v>Odhad N2 RandDown</c:v>
                </c:pt>
              </c:strCache>
            </c:strRef>
          </c:cat>
          <c:val>
            <c:numRef>
              <c:f>Grafy!$O$20:$T$20</c:f>
              <c:numCache>
                <c:formatCode>General</c:formatCode>
                <c:ptCount val="6"/>
                <c:pt idx="0">
                  <c:v>1992.29</c:v>
                </c:pt>
                <c:pt idx="1">
                  <c:v>7744.4</c:v>
                </c:pt>
                <c:pt idx="2">
                  <c:v>1872.63</c:v>
                </c:pt>
                <c:pt idx="3">
                  <c:v>7490.5</c:v>
                </c:pt>
                <c:pt idx="4">
                  <c:v>1923.2</c:v>
                </c:pt>
                <c:pt idx="5">
                  <c:v>8503.41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7D-42E9-B816-A92761AE17E7}"/>
            </c:ext>
          </c:extLst>
        </c:ser>
        <c:ser>
          <c:idx val="2"/>
          <c:order val="2"/>
          <c:tx>
            <c:strRef>
              <c:f>Grafy!$N$21</c:f>
              <c:strCache>
                <c:ptCount val="1"/>
                <c:pt idx="0">
                  <c:v>Insert Sort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Grafy!$O$18:$T$18</c:f>
              <c:strCache>
                <c:ptCount val="6"/>
                <c:pt idx="0">
                  <c:v>Priemer N1 Random</c:v>
                </c:pt>
                <c:pt idx="1">
                  <c:v>Odhad N2 Random</c:v>
                </c:pt>
                <c:pt idx="2">
                  <c:v>Priemer N1 RandUp</c:v>
                </c:pt>
                <c:pt idx="3">
                  <c:v>Odhad N2 RandUp</c:v>
                </c:pt>
                <c:pt idx="4">
                  <c:v>Priemer N1 RandDown</c:v>
                </c:pt>
                <c:pt idx="5">
                  <c:v>Odhad N2 RandDown</c:v>
                </c:pt>
              </c:strCache>
            </c:strRef>
          </c:cat>
          <c:val>
            <c:numRef>
              <c:f>Grafy!$O$21:$T$21</c:f>
              <c:numCache>
                <c:formatCode>General</c:formatCode>
                <c:ptCount val="6"/>
                <c:pt idx="0">
                  <c:v>2623.34</c:v>
                </c:pt>
                <c:pt idx="1">
                  <c:v>10927.39</c:v>
                </c:pt>
                <c:pt idx="2">
                  <c:v>11.95</c:v>
                </c:pt>
                <c:pt idx="3">
                  <c:v>21.21</c:v>
                </c:pt>
                <c:pt idx="4">
                  <c:v>4922.99</c:v>
                </c:pt>
                <c:pt idx="5">
                  <c:v>21044.53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7D-42E9-B816-A92761AE17E7}"/>
            </c:ext>
          </c:extLst>
        </c:ser>
        <c:ser>
          <c:idx val="3"/>
          <c:order val="3"/>
          <c:tx>
            <c:strRef>
              <c:f>Grafy!$N$22</c:f>
              <c:strCache>
                <c:ptCount val="1"/>
                <c:pt idx="0">
                  <c:v>Insert+Binary Search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Grafy!$O$18:$T$18</c:f>
              <c:strCache>
                <c:ptCount val="6"/>
                <c:pt idx="0">
                  <c:v>Priemer N1 Random</c:v>
                </c:pt>
                <c:pt idx="1">
                  <c:v>Odhad N2 Random</c:v>
                </c:pt>
                <c:pt idx="2">
                  <c:v>Priemer N1 RandUp</c:v>
                </c:pt>
                <c:pt idx="3">
                  <c:v>Odhad N2 RandUp</c:v>
                </c:pt>
                <c:pt idx="4">
                  <c:v>Priemer N1 RandDown</c:v>
                </c:pt>
                <c:pt idx="5">
                  <c:v>Odhad N2 RandDown</c:v>
                </c:pt>
              </c:strCache>
            </c:strRef>
          </c:cat>
          <c:val>
            <c:numRef>
              <c:f>Grafy!$O$22:$T$22</c:f>
              <c:numCache>
                <c:formatCode>General</c:formatCode>
                <c:ptCount val="6"/>
                <c:pt idx="0">
                  <c:v>1382.89</c:v>
                </c:pt>
                <c:pt idx="1">
                  <c:v>5655.97</c:v>
                </c:pt>
                <c:pt idx="2">
                  <c:v>10.97</c:v>
                </c:pt>
                <c:pt idx="3">
                  <c:v>43.86</c:v>
                </c:pt>
                <c:pt idx="4">
                  <c:v>2544.67</c:v>
                </c:pt>
                <c:pt idx="5">
                  <c:v>22573.31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7D-42E9-B816-A92761AE17E7}"/>
            </c:ext>
          </c:extLst>
        </c:ser>
        <c:ser>
          <c:idx val="4"/>
          <c:order val="4"/>
          <c:tx>
            <c:strRef>
              <c:f>Grafy!$N$23</c:f>
              <c:strCache>
                <c:ptCount val="1"/>
                <c:pt idx="0">
                  <c:v>Quick Sort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Grafy!$O$18:$T$18</c:f>
              <c:strCache>
                <c:ptCount val="6"/>
                <c:pt idx="0">
                  <c:v>Priemer N1 Random</c:v>
                </c:pt>
                <c:pt idx="1">
                  <c:v>Odhad N2 Random</c:v>
                </c:pt>
                <c:pt idx="2">
                  <c:v>Priemer N1 RandUp</c:v>
                </c:pt>
                <c:pt idx="3">
                  <c:v>Odhad N2 RandUp</c:v>
                </c:pt>
                <c:pt idx="4">
                  <c:v>Priemer N1 RandDown</c:v>
                </c:pt>
                <c:pt idx="5">
                  <c:v>Odhad N2 RandDown</c:v>
                </c:pt>
              </c:strCache>
            </c:strRef>
          </c:cat>
          <c:val>
            <c:numRef>
              <c:f>Grafy!$O$23:$T$23</c:f>
              <c:numCache>
                <c:formatCode>General</c:formatCode>
                <c:ptCount val="6"/>
                <c:pt idx="0">
                  <c:v>13</c:v>
                </c:pt>
                <c:pt idx="1">
                  <c:v>27.96</c:v>
                </c:pt>
                <c:pt idx="2">
                  <c:v>1599.81</c:v>
                </c:pt>
                <c:pt idx="3">
                  <c:v>3440.41</c:v>
                </c:pt>
                <c:pt idx="4">
                  <c:v>1236.8800000000001</c:v>
                </c:pt>
                <c:pt idx="5">
                  <c:v>5456.14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7D-42E9-B816-A92761AE17E7}"/>
            </c:ext>
          </c:extLst>
        </c:ser>
        <c:ser>
          <c:idx val="5"/>
          <c:order val="5"/>
          <c:tx>
            <c:strRef>
              <c:f>Grafy!$N$24</c:f>
              <c:strCache>
                <c:ptCount val="1"/>
                <c:pt idx="0">
                  <c:v>Merge Sort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Grafy!$O$18:$T$18</c:f>
              <c:strCache>
                <c:ptCount val="6"/>
                <c:pt idx="0">
                  <c:v>Priemer N1 Random</c:v>
                </c:pt>
                <c:pt idx="1">
                  <c:v>Odhad N2 Random</c:v>
                </c:pt>
                <c:pt idx="2">
                  <c:v>Priemer N1 RandUp</c:v>
                </c:pt>
                <c:pt idx="3">
                  <c:v>Odhad N2 RandUp</c:v>
                </c:pt>
                <c:pt idx="4">
                  <c:v>Priemer N1 RandDown</c:v>
                </c:pt>
                <c:pt idx="5">
                  <c:v>Odhad N2 RandDown</c:v>
                </c:pt>
              </c:strCache>
            </c:strRef>
          </c:cat>
          <c:val>
            <c:numRef>
              <c:f>Grafy!$O$24:$T$24</c:f>
              <c:numCache>
                <c:formatCode>General</c:formatCode>
                <c:ptCount val="6"/>
                <c:pt idx="0">
                  <c:v>19.010000000000002</c:v>
                </c:pt>
                <c:pt idx="1">
                  <c:v>41.42</c:v>
                </c:pt>
                <c:pt idx="2">
                  <c:v>16.41</c:v>
                </c:pt>
                <c:pt idx="3">
                  <c:v>35.29</c:v>
                </c:pt>
                <c:pt idx="4">
                  <c:v>15.44</c:v>
                </c:pt>
                <c:pt idx="5">
                  <c:v>32.08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7D-42E9-B816-A92761AE17E7}"/>
            </c:ext>
          </c:extLst>
        </c:ser>
        <c:ser>
          <c:idx val="6"/>
          <c:order val="6"/>
          <c:tx>
            <c:strRef>
              <c:f>Grafy!$N$25</c:f>
              <c:strCache>
                <c:ptCount val="1"/>
                <c:pt idx="0">
                  <c:v>Radix Sort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Grafy!$O$18:$T$18</c:f>
              <c:strCache>
                <c:ptCount val="6"/>
                <c:pt idx="0">
                  <c:v>Priemer N1 Random</c:v>
                </c:pt>
                <c:pt idx="1">
                  <c:v>Odhad N2 Random</c:v>
                </c:pt>
                <c:pt idx="2">
                  <c:v>Priemer N1 RandUp</c:v>
                </c:pt>
                <c:pt idx="3">
                  <c:v>Odhad N2 RandUp</c:v>
                </c:pt>
                <c:pt idx="4">
                  <c:v>Priemer N1 RandDown</c:v>
                </c:pt>
                <c:pt idx="5">
                  <c:v>Odhad N2 RandDown</c:v>
                </c:pt>
              </c:strCache>
            </c:strRef>
          </c:cat>
          <c:val>
            <c:numRef>
              <c:f>Grafy!$O$25:$T$25</c:f>
              <c:numCache>
                <c:formatCode>General</c:formatCode>
                <c:ptCount val="6"/>
                <c:pt idx="0">
                  <c:v>8.8000000000000007</c:v>
                </c:pt>
                <c:pt idx="1">
                  <c:v>17.600000000000001</c:v>
                </c:pt>
                <c:pt idx="2">
                  <c:v>7.4</c:v>
                </c:pt>
                <c:pt idx="3">
                  <c:v>14.8</c:v>
                </c:pt>
                <c:pt idx="4">
                  <c:v>7.41</c:v>
                </c:pt>
                <c:pt idx="5">
                  <c:v>14.83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7D-42E9-B816-A92761AE1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0200911"/>
        <c:axId val="1690200431"/>
      </c:barChart>
      <c:catAx>
        <c:axId val="1690200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I"/>
          </a:p>
        </c:txPr>
        <c:crossAx val="1690200431"/>
        <c:crosses val="autoZero"/>
        <c:auto val="1"/>
        <c:lblAlgn val="ctr"/>
        <c:lblOffset val="100"/>
        <c:noMultiLvlLbl val="0"/>
      </c:catAx>
      <c:valAx>
        <c:axId val="169020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I"/>
          </a:p>
        </c:txPr>
        <c:crossAx val="169020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I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sorty porovnania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Grafy!$W$29</c:f>
              <c:strCache>
                <c:ptCount val="1"/>
                <c:pt idx="0">
                  <c:v>Bubble Sort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Grafy!$X$28:$AF$28</c:f>
              <c:strCache>
                <c:ptCount val="9"/>
                <c:pt idx="0">
                  <c:v>Priemer N1 Random</c:v>
                </c:pt>
                <c:pt idx="1">
                  <c:v>Odhad N2 Random</c:v>
                </c:pt>
                <c:pt idx="2">
                  <c:v>Priemer N2 Random</c:v>
                </c:pt>
                <c:pt idx="3">
                  <c:v>Priemer N1 RandUp</c:v>
                </c:pt>
                <c:pt idx="4">
                  <c:v>Odhad N2 RandUp</c:v>
                </c:pt>
                <c:pt idx="5">
                  <c:v>Priemer N2 RandUp</c:v>
                </c:pt>
                <c:pt idx="6">
                  <c:v>Priemer N1 RandDown</c:v>
                </c:pt>
                <c:pt idx="7">
                  <c:v>Odhad N2 RandDown</c:v>
                </c:pt>
                <c:pt idx="8">
                  <c:v>Priemer N2 RandDown</c:v>
                </c:pt>
              </c:strCache>
            </c:strRef>
          </c:cat>
          <c:val>
            <c:numRef>
              <c:f>Grafy!$X$29:$AF$29</c:f>
              <c:numCache>
                <c:formatCode>General</c:formatCode>
                <c:ptCount val="9"/>
                <c:pt idx="0">
                  <c:v>49971654</c:v>
                </c:pt>
                <c:pt idx="1">
                  <c:v>199992359</c:v>
                </c:pt>
                <c:pt idx="2">
                  <c:v>199996388</c:v>
                </c:pt>
                <c:pt idx="3">
                  <c:v>369274</c:v>
                </c:pt>
                <c:pt idx="4">
                  <c:v>1477094</c:v>
                </c:pt>
                <c:pt idx="5">
                  <c:v>819090</c:v>
                </c:pt>
                <c:pt idx="6">
                  <c:v>49994950</c:v>
                </c:pt>
                <c:pt idx="7">
                  <c:v>199999783</c:v>
                </c:pt>
                <c:pt idx="8">
                  <c:v>199996388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ED-4013-9052-D951D245A021}"/>
            </c:ext>
          </c:extLst>
        </c:ser>
        <c:ser>
          <c:idx val="1"/>
          <c:order val="1"/>
          <c:tx>
            <c:strRef>
              <c:f>Grafy!$W$30</c:f>
              <c:strCache>
                <c:ptCount val="1"/>
                <c:pt idx="0">
                  <c:v>Select Sort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Grafy!$X$28:$AF$28</c:f>
              <c:strCache>
                <c:ptCount val="9"/>
                <c:pt idx="0">
                  <c:v>Priemer N1 Random</c:v>
                </c:pt>
                <c:pt idx="1">
                  <c:v>Odhad N2 Random</c:v>
                </c:pt>
                <c:pt idx="2">
                  <c:v>Priemer N2 Random</c:v>
                </c:pt>
                <c:pt idx="3">
                  <c:v>Priemer N1 RandUp</c:v>
                </c:pt>
                <c:pt idx="4">
                  <c:v>Odhad N2 RandUp</c:v>
                </c:pt>
                <c:pt idx="5">
                  <c:v>Priemer N2 RandUp</c:v>
                </c:pt>
                <c:pt idx="6">
                  <c:v>Priemer N1 RandDown</c:v>
                </c:pt>
                <c:pt idx="7">
                  <c:v>Odhad N2 RandDown</c:v>
                </c:pt>
                <c:pt idx="8">
                  <c:v>Priemer N2 RandDown</c:v>
                </c:pt>
              </c:strCache>
            </c:strRef>
          </c:cat>
          <c:val>
            <c:numRef>
              <c:f>Grafy!$X$30:$AF$30</c:f>
              <c:numCache>
                <c:formatCode>General</c:formatCode>
                <c:ptCount val="9"/>
                <c:pt idx="0">
                  <c:v>49950000</c:v>
                </c:pt>
                <c:pt idx="1">
                  <c:v>199900000</c:v>
                </c:pt>
                <c:pt idx="2">
                  <c:v>199900000</c:v>
                </c:pt>
                <c:pt idx="3">
                  <c:v>4999500</c:v>
                </c:pt>
                <c:pt idx="4">
                  <c:v>199900000</c:v>
                </c:pt>
                <c:pt idx="5">
                  <c:v>199900000</c:v>
                </c:pt>
                <c:pt idx="6">
                  <c:v>49995000</c:v>
                </c:pt>
                <c:pt idx="7">
                  <c:v>199900000</c:v>
                </c:pt>
                <c:pt idx="8">
                  <c:v>199900000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ED-4013-9052-D951D245A021}"/>
            </c:ext>
          </c:extLst>
        </c:ser>
        <c:ser>
          <c:idx val="2"/>
          <c:order val="2"/>
          <c:tx>
            <c:strRef>
              <c:f>Grafy!$W$31</c:f>
              <c:strCache>
                <c:ptCount val="1"/>
                <c:pt idx="0">
                  <c:v>Insert Sort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Grafy!$X$28:$AF$28</c:f>
              <c:strCache>
                <c:ptCount val="9"/>
                <c:pt idx="0">
                  <c:v>Priemer N1 Random</c:v>
                </c:pt>
                <c:pt idx="1">
                  <c:v>Odhad N2 Random</c:v>
                </c:pt>
                <c:pt idx="2">
                  <c:v>Priemer N2 Random</c:v>
                </c:pt>
                <c:pt idx="3">
                  <c:v>Priemer N1 RandUp</c:v>
                </c:pt>
                <c:pt idx="4">
                  <c:v>Odhad N2 RandUp</c:v>
                </c:pt>
                <c:pt idx="5">
                  <c:v>Priemer N2 RandUp</c:v>
                </c:pt>
                <c:pt idx="6">
                  <c:v>Priemer N1 RandDown</c:v>
                </c:pt>
                <c:pt idx="7">
                  <c:v>Odhad N2 RandDown</c:v>
                </c:pt>
                <c:pt idx="8">
                  <c:v>Priemer N2 RandDown</c:v>
                </c:pt>
              </c:strCache>
            </c:strRef>
          </c:cat>
          <c:val>
            <c:numRef>
              <c:f>Grafy!$X$31:$AF$31</c:f>
              <c:numCache>
                <c:formatCode>General</c:formatCode>
                <c:ptCount val="9"/>
                <c:pt idx="0">
                  <c:v>25044662</c:v>
                </c:pt>
                <c:pt idx="1">
                  <c:v>100718649</c:v>
                </c:pt>
                <c:pt idx="2">
                  <c:v>99440741</c:v>
                </c:pt>
                <c:pt idx="3">
                  <c:v>116393</c:v>
                </c:pt>
                <c:pt idx="4">
                  <c:v>465572</c:v>
                </c:pt>
                <c:pt idx="5">
                  <c:v>252826</c:v>
                </c:pt>
                <c:pt idx="6">
                  <c:v>25101800</c:v>
                </c:pt>
                <c:pt idx="7">
                  <c:v>199951320</c:v>
                </c:pt>
                <c:pt idx="8">
                  <c:v>99440741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ED-4013-9052-D951D245A021}"/>
            </c:ext>
          </c:extLst>
        </c:ser>
        <c:ser>
          <c:idx val="3"/>
          <c:order val="3"/>
          <c:tx>
            <c:strRef>
              <c:f>Grafy!$W$32</c:f>
              <c:strCache>
                <c:ptCount val="1"/>
                <c:pt idx="0">
                  <c:v>Insert+Binary Search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Grafy!$X$28:$AF$28</c:f>
              <c:strCache>
                <c:ptCount val="9"/>
                <c:pt idx="0">
                  <c:v>Priemer N1 Random</c:v>
                </c:pt>
                <c:pt idx="1">
                  <c:v>Odhad N2 Random</c:v>
                </c:pt>
                <c:pt idx="2">
                  <c:v>Priemer N2 Random</c:v>
                </c:pt>
                <c:pt idx="3">
                  <c:v>Priemer N1 RandUp</c:v>
                </c:pt>
                <c:pt idx="4">
                  <c:v>Odhad N2 RandUp</c:v>
                </c:pt>
                <c:pt idx="5">
                  <c:v>Priemer N2 RandUp</c:v>
                </c:pt>
                <c:pt idx="6">
                  <c:v>Priemer N1 RandDown</c:v>
                </c:pt>
                <c:pt idx="7">
                  <c:v>Odhad N2 RandDown</c:v>
                </c:pt>
                <c:pt idx="8">
                  <c:v>Priemer N2 RandDown</c:v>
                </c:pt>
              </c:strCache>
            </c:strRef>
          </c:cat>
          <c:val>
            <c:numRef>
              <c:f>Grafy!$X$32:$AF$32</c:f>
              <c:numCache>
                <c:formatCode>General</c:formatCode>
                <c:ptCount val="9"/>
                <c:pt idx="0">
                  <c:v>119018</c:v>
                </c:pt>
                <c:pt idx="1">
                  <c:v>476043</c:v>
                </c:pt>
                <c:pt idx="2">
                  <c:v>258004</c:v>
                </c:pt>
                <c:pt idx="3">
                  <c:v>116393</c:v>
                </c:pt>
                <c:pt idx="4">
                  <c:v>465572</c:v>
                </c:pt>
                <c:pt idx="5">
                  <c:v>252826</c:v>
                </c:pt>
                <c:pt idx="6">
                  <c:v>121678</c:v>
                </c:pt>
                <c:pt idx="7">
                  <c:v>486691</c:v>
                </c:pt>
                <c:pt idx="8">
                  <c:v>263484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ED-4013-9052-D951D245A021}"/>
            </c:ext>
          </c:extLst>
        </c:ser>
        <c:ser>
          <c:idx val="4"/>
          <c:order val="4"/>
          <c:tx>
            <c:strRef>
              <c:f>Grafy!$W$33</c:f>
              <c:strCache>
                <c:ptCount val="1"/>
                <c:pt idx="0">
                  <c:v>Quick Sort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Grafy!$X$28:$AF$28</c:f>
              <c:strCache>
                <c:ptCount val="9"/>
                <c:pt idx="0">
                  <c:v>Priemer N1 Random</c:v>
                </c:pt>
                <c:pt idx="1">
                  <c:v>Odhad N2 Random</c:v>
                </c:pt>
                <c:pt idx="2">
                  <c:v>Priemer N2 Random</c:v>
                </c:pt>
                <c:pt idx="3">
                  <c:v>Priemer N1 RandUp</c:v>
                </c:pt>
                <c:pt idx="4">
                  <c:v>Odhad N2 RandUp</c:v>
                </c:pt>
                <c:pt idx="5">
                  <c:v>Priemer N2 RandUp</c:v>
                </c:pt>
                <c:pt idx="6">
                  <c:v>Priemer N1 RandDown</c:v>
                </c:pt>
                <c:pt idx="7">
                  <c:v>Odhad N2 RandDown</c:v>
                </c:pt>
                <c:pt idx="8">
                  <c:v>Priemer N2 RandDown</c:v>
                </c:pt>
              </c:strCache>
            </c:strRef>
          </c:cat>
          <c:val>
            <c:numRef>
              <c:f>Grafy!$X$33:$AF$33</c:f>
              <c:numCache>
                <c:formatCode>General</c:formatCode>
                <c:ptCount val="9"/>
                <c:pt idx="0">
                  <c:v>125209</c:v>
                </c:pt>
                <c:pt idx="1">
                  <c:v>359267</c:v>
                </c:pt>
                <c:pt idx="2">
                  <c:v>324243</c:v>
                </c:pt>
                <c:pt idx="3">
                  <c:v>15549165</c:v>
                </c:pt>
                <c:pt idx="4">
                  <c:v>38431595</c:v>
                </c:pt>
                <c:pt idx="5">
                  <c:v>15784824</c:v>
                </c:pt>
                <c:pt idx="6">
                  <c:v>74623</c:v>
                </c:pt>
                <c:pt idx="7">
                  <c:v>6015314</c:v>
                </c:pt>
                <c:pt idx="8">
                  <c:v>5712411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ED-4013-9052-D951D245A021}"/>
            </c:ext>
          </c:extLst>
        </c:ser>
        <c:ser>
          <c:idx val="5"/>
          <c:order val="5"/>
          <c:tx>
            <c:strRef>
              <c:f>Grafy!$W$34</c:f>
              <c:strCache>
                <c:ptCount val="1"/>
                <c:pt idx="0">
                  <c:v>Merge Sort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Grafy!$X$28:$AF$28</c:f>
              <c:strCache>
                <c:ptCount val="9"/>
                <c:pt idx="0">
                  <c:v>Priemer N1 Random</c:v>
                </c:pt>
                <c:pt idx="1">
                  <c:v>Odhad N2 Random</c:v>
                </c:pt>
                <c:pt idx="2">
                  <c:v>Priemer N2 Random</c:v>
                </c:pt>
                <c:pt idx="3">
                  <c:v>Priemer N1 RandUp</c:v>
                </c:pt>
                <c:pt idx="4">
                  <c:v>Odhad N2 RandUp</c:v>
                </c:pt>
                <c:pt idx="5">
                  <c:v>Priemer N2 RandUp</c:v>
                </c:pt>
                <c:pt idx="6">
                  <c:v>Priemer N1 RandDown</c:v>
                </c:pt>
                <c:pt idx="7">
                  <c:v>Odhad N2 RandDown</c:v>
                </c:pt>
                <c:pt idx="8">
                  <c:v>Priemer N2 RandDown</c:v>
                </c:pt>
              </c:strCache>
            </c:strRef>
          </c:cat>
          <c:val>
            <c:numRef>
              <c:f>Grafy!$X$34:$AF$34</c:f>
              <c:numCache>
                <c:formatCode>General</c:formatCode>
                <c:ptCount val="9"/>
                <c:pt idx="0">
                  <c:v>120432</c:v>
                </c:pt>
                <c:pt idx="1">
                  <c:v>258991</c:v>
                </c:pt>
                <c:pt idx="2">
                  <c:v>260883</c:v>
                </c:pt>
                <c:pt idx="3">
                  <c:v>73400</c:v>
                </c:pt>
                <c:pt idx="4">
                  <c:v>157483</c:v>
                </c:pt>
                <c:pt idx="5">
                  <c:v>157833</c:v>
                </c:pt>
                <c:pt idx="6">
                  <c:v>74741</c:v>
                </c:pt>
                <c:pt idx="7">
                  <c:v>287343</c:v>
                </c:pt>
                <c:pt idx="8">
                  <c:v>287232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ED-4013-9052-D951D245A021}"/>
            </c:ext>
          </c:extLst>
        </c:ser>
        <c:ser>
          <c:idx val="6"/>
          <c:order val="6"/>
          <c:tx>
            <c:strRef>
              <c:f>Grafy!$W$35</c:f>
              <c:strCache>
                <c:ptCount val="1"/>
                <c:pt idx="0">
                  <c:v>Radix Sort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Grafy!$X$28:$AF$28</c:f>
              <c:strCache>
                <c:ptCount val="9"/>
                <c:pt idx="0">
                  <c:v>Priemer N1 Random</c:v>
                </c:pt>
                <c:pt idx="1">
                  <c:v>Odhad N2 Random</c:v>
                </c:pt>
                <c:pt idx="2">
                  <c:v>Priemer N2 Random</c:v>
                </c:pt>
                <c:pt idx="3">
                  <c:v>Priemer N1 RandUp</c:v>
                </c:pt>
                <c:pt idx="4">
                  <c:v>Odhad N2 RandUp</c:v>
                </c:pt>
                <c:pt idx="5">
                  <c:v>Priemer N2 RandUp</c:v>
                </c:pt>
                <c:pt idx="6">
                  <c:v>Priemer N1 RandDown</c:v>
                </c:pt>
                <c:pt idx="7">
                  <c:v>Odhad N2 RandDown</c:v>
                </c:pt>
                <c:pt idx="8">
                  <c:v>Priemer N2 RandDown</c:v>
                </c:pt>
              </c:strCache>
            </c:strRef>
          </c:cat>
          <c:val>
            <c:numRef>
              <c:f>Grafy!$X$35:$AF$35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ED-4013-9052-D951D245A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0885807"/>
        <c:axId val="78105215"/>
      </c:barChart>
      <c:catAx>
        <c:axId val="185088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I"/>
          </a:p>
        </c:txPr>
        <c:crossAx val="78105215"/>
        <c:crosses val="autoZero"/>
        <c:auto val="1"/>
        <c:lblAlgn val="ctr"/>
        <c:lblOffset val="100"/>
        <c:noMultiLvlLbl val="0"/>
      </c:catAx>
      <c:valAx>
        <c:axId val="7810521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I"/>
          </a:p>
        </c:txPr>
        <c:crossAx val="1850885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I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sorty priradenia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Grafy!$W$39</c:f>
              <c:strCache>
                <c:ptCount val="1"/>
                <c:pt idx="0">
                  <c:v>Bubble Sort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Grafy!$X$38:$AC$38</c:f>
              <c:strCache>
                <c:ptCount val="6"/>
                <c:pt idx="0">
                  <c:v>Priemer N1 Random</c:v>
                </c:pt>
                <c:pt idx="1">
                  <c:v>Odhad N2 Random</c:v>
                </c:pt>
                <c:pt idx="2">
                  <c:v>Priemer N1 RandUp</c:v>
                </c:pt>
                <c:pt idx="3">
                  <c:v>Odhad N2 RandUp</c:v>
                </c:pt>
                <c:pt idx="4">
                  <c:v>Priemer N1 RandDown</c:v>
                </c:pt>
                <c:pt idx="5">
                  <c:v>Odhad N2 RandDown</c:v>
                </c:pt>
              </c:strCache>
            </c:strRef>
          </c:cat>
          <c:val>
            <c:numRef>
              <c:f>Grafy!$X$39:$AC$39</c:f>
              <c:numCache>
                <c:formatCode>General</c:formatCode>
                <c:ptCount val="6"/>
                <c:pt idx="0">
                  <c:v>75255576</c:v>
                </c:pt>
                <c:pt idx="1">
                  <c:v>299743747</c:v>
                </c:pt>
                <c:pt idx="2">
                  <c:v>53996</c:v>
                </c:pt>
                <c:pt idx="3">
                  <c:v>110527.8</c:v>
                </c:pt>
                <c:pt idx="4">
                  <c:v>149918048</c:v>
                </c:pt>
                <c:pt idx="5">
                  <c:v>599831549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5D-4370-8B85-7D0A54104EAA}"/>
            </c:ext>
          </c:extLst>
        </c:ser>
        <c:ser>
          <c:idx val="1"/>
          <c:order val="1"/>
          <c:tx>
            <c:strRef>
              <c:f>Grafy!$W$40</c:f>
              <c:strCache>
                <c:ptCount val="1"/>
                <c:pt idx="0">
                  <c:v>Select Sort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Grafy!$X$38:$AC$38</c:f>
              <c:strCache>
                <c:ptCount val="6"/>
                <c:pt idx="0">
                  <c:v>Priemer N1 Random</c:v>
                </c:pt>
                <c:pt idx="1">
                  <c:v>Odhad N2 Random</c:v>
                </c:pt>
                <c:pt idx="2">
                  <c:v>Priemer N1 RandUp</c:v>
                </c:pt>
                <c:pt idx="3">
                  <c:v>Odhad N2 RandUp</c:v>
                </c:pt>
                <c:pt idx="4">
                  <c:v>Priemer N1 RandDown</c:v>
                </c:pt>
                <c:pt idx="5">
                  <c:v>Odhad N2 RandDown</c:v>
                </c:pt>
              </c:strCache>
            </c:strRef>
          </c:cat>
          <c:val>
            <c:numRef>
              <c:f>Grafy!$X$40:$AC$40</c:f>
              <c:numCache>
                <c:formatCode>General</c:formatCode>
                <c:ptCount val="6"/>
                <c:pt idx="0">
                  <c:v>29997</c:v>
                </c:pt>
                <c:pt idx="1">
                  <c:v>59997</c:v>
                </c:pt>
                <c:pt idx="2">
                  <c:v>29997</c:v>
                </c:pt>
                <c:pt idx="3">
                  <c:v>59997</c:v>
                </c:pt>
                <c:pt idx="4">
                  <c:v>29997</c:v>
                </c:pt>
                <c:pt idx="5">
                  <c:v>59997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5D-4370-8B85-7D0A54104EAA}"/>
            </c:ext>
          </c:extLst>
        </c:ser>
        <c:ser>
          <c:idx val="2"/>
          <c:order val="2"/>
          <c:tx>
            <c:strRef>
              <c:f>Grafy!$W$41</c:f>
              <c:strCache>
                <c:ptCount val="1"/>
                <c:pt idx="0">
                  <c:v>Insert Sort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Grafy!$X$38:$AC$38</c:f>
              <c:strCache>
                <c:ptCount val="6"/>
                <c:pt idx="0">
                  <c:v>Priemer N1 Random</c:v>
                </c:pt>
                <c:pt idx="1">
                  <c:v>Odhad N2 Random</c:v>
                </c:pt>
                <c:pt idx="2">
                  <c:v>Priemer N1 RandUp</c:v>
                </c:pt>
                <c:pt idx="3">
                  <c:v>Odhad N2 RandUp</c:v>
                </c:pt>
                <c:pt idx="4">
                  <c:v>Priemer N1 RandDown</c:v>
                </c:pt>
                <c:pt idx="5">
                  <c:v>Odhad N2 RandDown</c:v>
                </c:pt>
              </c:strCache>
            </c:strRef>
          </c:cat>
          <c:val>
            <c:numRef>
              <c:f>Grafy!$X$41:$AC$41</c:f>
              <c:numCache>
                <c:formatCode>General</c:formatCode>
                <c:ptCount val="6"/>
                <c:pt idx="0">
                  <c:v>75114105</c:v>
                </c:pt>
                <c:pt idx="1">
                  <c:v>299643152</c:v>
                </c:pt>
                <c:pt idx="2">
                  <c:v>62358.6</c:v>
                </c:pt>
                <c:pt idx="3">
                  <c:v>129331.6</c:v>
                </c:pt>
                <c:pt idx="4">
                  <c:v>14992688</c:v>
                </c:pt>
                <c:pt idx="5">
                  <c:v>59997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5D-4370-8B85-7D0A54104EAA}"/>
            </c:ext>
          </c:extLst>
        </c:ser>
        <c:ser>
          <c:idx val="3"/>
          <c:order val="3"/>
          <c:tx>
            <c:strRef>
              <c:f>Grafy!$W$42</c:f>
              <c:strCache>
                <c:ptCount val="1"/>
                <c:pt idx="0">
                  <c:v>Insert+Binary Search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Grafy!$X$38:$AC$38</c:f>
              <c:strCache>
                <c:ptCount val="6"/>
                <c:pt idx="0">
                  <c:v>Priemer N1 Random</c:v>
                </c:pt>
                <c:pt idx="1">
                  <c:v>Odhad N2 Random</c:v>
                </c:pt>
                <c:pt idx="2">
                  <c:v>Priemer N1 RandUp</c:v>
                </c:pt>
                <c:pt idx="3">
                  <c:v>Odhad N2 RandUp</c:v>
                </c:pt>
                <c:pt idx="4">
                  <c:v>Priemer N1 RandDown</c:v>
                </c:pt>
                <c:pt idx="5">
                  <c:v>Odhad N2 RandDown</c:v>
                </c:pt>
              </c:strCache>
            </c:strRef>
          </c:cat>
          <c:val>
            <c:numRef>
              <c:f>Grafy!$X$42:$AC$42</c:f>
              <c:numCache>
                <c:formatCode>General</c:formatCode>
                <c:ptCount val="6"/>
                <c:pt idx="0">
                  <c:v>249606090</c:v>
                </c:pt>
                <c:pt idx="1">
                  <c:v>998430155</c:v>
                </c:pt>
                <c:pt idx="2">
                  <c:v>37928.400000000001</c:v>
                </c:pt>
                <c:pt idx="3">
                  <c:v>76421</c:v>
                </c:pt>
                <c:pt idx="4">
                  <c:v>19919000</c:v>
                </c:pt>
                <c:pt idx="5">
                  <c:v>59997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5D-4370-8B85-7D0A54104EAA}"/>
            </c:ext>
          </c:extLst>
        </c:ser>
        <c:ser>
          <c:idx val="4"/>
          <c:order val="4"/>
          <c:tx>
            <c:strRef>
              <c:f>Grafy!$W$43</c:f>
              <c:strCache>
                <c:ptCount val="1"/>
                <c:pt idx="0">
                  <c:v>Quick Sort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Grafy!$X$38:$AC$38</c:f>
              <c:strCache>
                <c:ptCount val="6"/>
                <c:pt idx="0">
                  <c:v>Priemer N1 Random</c:v>
                </c:pt>
                <c:pt idx="1">
                  <c:v>Odhad N2 Random</c:v>
                </c:pt>
                <c:pt idx="2">
                  <c:v>Priemer N1 RandUp</c:v>
                </c:pt>
                <c:pt idx="3">
                  <c:v>Odhad N2 RandUp</c:v>
                </c:pt>
                <c:pt idx="4">
                  <c:v>Priemer N1 RandDown</c:v>
                </c:pt>
                <c:pt idx="5">
                  <c:v>Odhad N2 RandDown</c:v>
                </c:pt>
              </c:strCache>
            </c:strRef>
          </c:cat>
          <c:val>
            <c:numRef>
              <c:f>Grafy!$X$43:$AC$43</c:f>
              <c:numCache>
                <c:formatCode>General</c:formatCode>
                <c:ptCount val="6"/>
                <c:pt idx="0">
                  <c:v>2465060</c:v>
                </c:pt>
                <c:pt idx="1">
                  <c:v>96650357</c:v>
                </c:pt>
                <c:pt idx="2">
                  <c:v>46595569</c:v>
                </c:pt>
                <c:pt idx="3">
                  <c:v>1578482459</c:v>
                </c:pt>
                <c:pt idx="4">
                  <c:v>256409</c:v>
                </c:pt>
                <c:pt idx="5">
                  <c:v>759972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5D-4370-8B85-7D0A54104EAA}"/>
            </c:ext>
          </c:extLst>
        </c:ser>
        <c:ser>
          <c:idx val="5"/>
          <c:order val="5"/>
          <c:tx>
            <c:strRef>
              <c:f>Grafy!$W$44</c:f>
              <c:strCache>
                <c:ptCount val="1"/>
                <c:pt idx="0">
                  <c:v>Merge Sort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Grafy!$X$38:$AC$38</c:f>
              <c:strCache>
                <c:ptCount val="6"/>
                <c:pt idx="0">
                  <c:v>Priemer N1 Random</c:v>
                </c:pt>
                <c:pt idx="1">
                  <c:v>Odhad N2 Random</c:v>
                </c:pt>
                <c:pt idx="2">
                  <c:v>Priemer N1 RandUp</c:v>
                </c:pt>
                <c:pt idx="3">
                  <c:v>Odhad N2 RandUp</c:v>
                </c:pt>
                <c:pt idx="4">
                  <c:v>Priemer N1 RandDown</c:v>
                </c:pt>
                <c:pt idx="5">
                  <c:v>Odhad N2 RandDown</c:v>
                </c:pt>
              </c:strCache>
            </c:strRef>
          </c:cat>
          <c:val>
            <c:numRef>
              <c:f>Grafy!$X$44:$AC$44</c:f>
              <c:numCache>
                <c:formatCode>General</c:formatCode>
                <c:ptCount val="6"/>
                <c:pt idx="0">
                  <c:v>133616</c:v>
                </c:pt>
                <c:pt idx="1">
                  <c:v>287232</c:v>
                </c:pt>
                <c:pt idx="2">
                  <c:v>133616</c:v>
                </c:pt>
                <c:pt idx="3">
                  <c:v>287232</c:v>
                </c:pt>
                <c:pt idx="4">
                  <c:v>133616</c:v>
                </c:pt>
                <c:pt idx="5">
                  <c:v>287232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5D-4370-8B85-7D0A54104EAA}"/>
            </c:ext>
          </c:extLst>
        </c:ser>
        <c:ser>
          <c:idx val="6"/>
          <c:order val="6"/>
          <c:tx>
            <c:strRef>
              <c:f>Grafy!$W$45</c:f>
              <c:strCache>
                <c:ptCount val="1"/>
                <c:pt idx="0">
                  <c:v>Radix Sort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Grafy!$X$38:$AC$38</c:f>
              <c:strCache>
                <c:ptCount val="6"/>
                <c:pt idx="0">
                  <c:v>Priemer N1 Random</c:v>
                </c:pt>
                <c:pt idx="1">
                  <c:v>Odhad N2 Random</c:v>
                </c:pt>
                <c:pt idx="2">
                  <c:v>Priemer N1 RandUp</c:v>
                </c:pt>
                <c:pt idx="3">
                  <c:v>Odhad N2 RandUp</c:v>
                </c:pt>
                <c:pt idx="4">
                  <c:v>Priemer N1 RandDown</c:v>
                </c:pt>
                <c:pt idx="5">
                  <c:v>Odhad N2 RandDown</c:v>
                </c:pt>
              </c:strCache>
            </c:strRef>
          </c:cat>
          <c:val>
            <c:numRef>
              <c:f>Grafy!$X$45:$AC$45</c:f>
              <c:numCache>
                <c:formatCode>General</c:formatCode>
                <c:ptCount val="6"/>
                <c:pt idx="0">
                  <c:v>52000</c:v>
                </c:pt>
                <c:pt idx="1">
                  <c:v>120000</c:v>
                </c:pt>
                <c:pt idx="2">
                  <c:v>50000</c:v>
                </c:pt>
                <c:pt idx="3">
                  <c:v>100000</c:v>
                </c:pt>
                <c:pt idx="4">
                  <c:v>50000</c:v>
                </c:pt>
                <c:pt idx="5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5D-4370-8B85-7D0A54104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3431487"/>
        <c:axId val="1244818447"/>
      </c:barChart>
      <c:catAx>
        <c:axId val="162343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I"/>
          </a:p>
        </c:txPr>
        <c:crossAx val="1244818447"/>
        <c:crosses val="autoZero"/>
        <c:auto val="1"/>
        <c:lblAlgn val="ctr"/>
        <c:lblOffset val="100"/>
        <c:noMultiLvlLbl val="0"/>
      </c:catAx>
      <c:valAx>
        <c:axId val="124481844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I"/>
          </a:p>
        </c:txPr>
        <c:crossAx val="162343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I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Searche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Grafy!$S$7</c:f>
              <c:strCache>
                <c:ptCount val="1"/>
                <c:pt idx="0">
                  <c:v>Linear Search O(N)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Grafy!$T$6:$W$6</c:f>
              <c:strCache>
                <c:ptCount val="4"/>
                <c:pt idx="0">
                  <c:v>Priemerný počet porovnaní</c:v>
                </c:pt>
                <c:pt idx="1">
                  <c:v>Priemerná doba hľadania (ms)</c:v>
                </c:pt>
                <c:pt idx="2">
                  <c:v>teoretická</c:v>
                </c:pt>
                <c:pt idx="3">
                  <c:v>skutočná</c:v>
                </c:pt>
              </c:strCache>
            </c:strRef>
          </c:cat>
          <c:val>
            <c:numRef>
              <c:f>Grafy!$T$7:$W$7</c:f>
              <c:numCache>
                <c:formatCode>General</c:formatCode>
                <c:ptCount val="4"/>
                <c:pt idx="0" formatCode="#,##0">
                  <c:v>10000000</c:v>
                </c:pt>
                <c:pt idx="1">
                  <c:v>431</c:v>
                </c:pt>
                <c:pt idx="2" formatCode="#,##0.00">
                  <c:v>4309.97</c:v>
                </c:pt>
                <c:pt idx="3" formatCode="#,##0.00">
                  <c:v>4121.3900000000003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B2-4023-89EC-C2F92E7C4391}"/>
            </c:ext>
          </c:extLst>
        </c:ser>
        <c:ser>
          <c:idx val="1"/>
          <c:order val="1"/>
          <c:tx>
            <c:strRef>
              <c:f>Grafy!$S$8</c:f>
              <c:strCache>
                <c:ptCount val="1"/>
                <c:pt idx="0">
                  <c:v>Binary Search O(log₂N)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Grafy!$T$6:$W$6</c:f>
              <c:strCache>
                <c:ptCount val="4"/>
                <c:pt idx="0">
                  <c:v>Priemerný počet porovnaní</c:v>
                </c:pt>
                <c:pt idx="1">
                  <c:v>Priemerná doba hľadania (ms)</c:v>
                </c:pt>
                <c:pt idx="2">
                  <c:v>teoretická</c:v>
                </c:pt>
                <c:pt idx="3">
                  <c:v>skutočná</c:v>
                </c:pt>
              </c:strCache>
            </c:strRef>
          </c:cat>
          <c:val>
            <c:numRef>
              <c:f>Grafy!$T$8:$W$8</c:f>
              <c:numCache>
                <c:formatCode>General</c:formatCode>
                <c:ptCount val="4"/>
                <c:pt idx="0">
                  <c:v>83.1</c:v>
                </c:pt>
                <c:pt idx="1">
                  <c:v>1.137E-2</c:v>
                </c:pt>
                <c:pt idx="2">
                  <c:v>0.1137</c:v>
                </c:pt>
                <c:pt idx="3">
                  <c:v>1.342E-2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B2-4023-89EC-C2F92E7C4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435775"/>
        <c:axId val="29432415"/>
      </c:barChart>
      <c:catAx>
        <c:axId val="2943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I"/>
          </a:p>
        </c:txPr>
        <c:crossAx val="29432415"/>
        <c:crosses val="autoZero"/>
        <c:auto val="1"/>
        <c:lblAlgn val="ctr"/>
        <c:lblOffset val="100"/>
        <c:noMultiLvlLbl val="0"/>
      </c:catAx>
      <c:valAx>
        <c:axId val="2943241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I"/>
          </a:p>
        </c:txPr>
        <c:crossAx val="2943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52</xdr:row>
      <xdr:rowOff>0</xdr:rowOff>
    </xdr:from>
    <xdr:to>
      <xdr:col>4</xdr:col>
      <xdr:colOff>304800</xdr:colOff>
      <xdr:row>53</xdr:row>
      <xdr:rowOff>104776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F2D82DBD-7B2B-7671-270B-87762C609077}"/>
            </a:ext>
          </a:extLst>
        </xdr:cNvPr>
        <xdr:cNvSpPr>
          <a:spLocks noChangeAspect="1" noChangeArrowheads="1"/>
        </xdr:cNvSpPr>
      </xdr:nvSpPr>
      <xdr:spPr bwMode="auto">
        <a:xfrm>
          <a:off x="2543175" y="1122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100852</xdr:colOff>
      <xdr:row>28</xdr:row>
      <xdr:rowOff>158003</xdr:rowOff>
    </xdr:from>
    <xdr:to>
      <xdr:col>15</xdr:col>
      <xdr:colOff>44823</xdr:colOff>
      <xdr:row>42</xdr:row>
      <xdr:rowOff>77320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FD10AE-9D20-63E8-FD25-6558013E75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221529</xdr:colOff>
      <xdr:row>13</xdr:row>
      <xdr:rowOff>26356</xdr:rowOff>
    </xdr:from>
    <xdr:to>
      <xdr:col>8</xdr:col>
      <xdr:colOff>146572</xdr:colOff>
      <xdr:row>27</xdr:row>
      <xdr:rowOff>71911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62F7ED-2D8D-1218-A9B3-3E810C3EA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271462</xdr:colOff>
      <xdr:row>27</xdr:row>
      <xdr:rowOff>128587</xdr:rowOff>
    </xdr:from>
    <xdr:to>
      <xdr:col>8</xdr:col>
      <xdr:colOff>195262</xdr:colOff>
      <xdr:row>41</xdr:row>
      <xdr:rowOff>71437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5150930-FAFD-ED1F-0F2A-A161E25AA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233362</xdr:colOff>
      <xdr:row>41</xdr:row>
      <xdr:rowOff>195262</xdr:rowOff>
    </xdr:from>
    <xdr:to>
      <xdr:col>8</xdr:col>
      <xdr:colOff>157162</xdr:colOff>
      <xdr:row>55</xdr:row>
      <xdr:rowOff>138112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59C688C-1A34-BE71-2392-6157E8502E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280987</xdr:colOff>
      <xdr:row>56</xdr:row>
      <xdr:rowOff>71437</xdr:rowOff>
    </xdr:from>
    <xdr:to>
      <xdr:col>8</xdr:col>
      <xdr:colOff>204787</xdr:colOff>
      <xdr:row>70</xdr:row>
      <xdr:rowOff>14287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B12BB70-A684-8635-9AFB-9FD0A9D236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221240</xdr:colOff>
      <xdr:row>11</xdr:row>
      <xdr:rowOff>103909</xdr:rowOff>
    </xdr:from>
    <xdr:to>
      <xdr:col>32</xdr:col>
      <xdr:colOff>536863</xdr:colOff>
      <xdr:row>48</xdr:row>
      <xdr:rowOff>103909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BF50414-EAD0-55D5-BFD4-9567234BAA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0"/>
  <sheetViews>
    <sheetView zoomScale="85" zoomScaleNormal="85" workbookViewId="0">
      <selection activeCell="M24" sqref="M24:M26"/>
    </sheetView>
  </sheetViews>
  <sheetFormatPr defaultColWidth="14.42578125" defaultRowHeight="15" customHeight="1" x14ac:dyDescent="0.25"/>
  <cols>
    <col min="1" max="1" width="1.28515625" customWidth="1"/>
    <col min="2" max="2" width="10.85546875" customWidth="1"/>
    <col min="3" max="3" width="8.7109375" customWidth="1"/>
    <col min="4" max="4" width="17.28515625" customWidth="1"/>
    <col min="5" max="5" width="14.85546875" customWidth="1"/>
    <col min="6" max="6" width="14.7109375" customWidth="1"/>
    <col min="7" max="7" width="18.5703125" customWidth="1"/>
    <col min="8" max="8" width="14.42578125" customWidth="1"/>
    <col min="9" max="9" width="15.7109375" customWidth="1"/>
    <col min="10" max="11" width="8.7109375" customWidth="1"/>
    <col min="12" max="12" width="11" customWidth="1"/>
    <col min="13" max="13" width="13.140625" customWidth="1"/>
    <col min="14" max="14" width="16.140625" customWidth="1"/>
    <col min="15" max="26" width="8.7109375" customWidth="1"/>
  </cols>
  <sheetData>
    <row r="1" spans="2:14" x14ac:dyDescent="0.25">
      <c r="B1" s="1">
        <v>3.3219280900000001</v>
      </c>
    </row>
    <row r="4" spans="2:14" ht="15" customHeight="1" thickBot="1" x14ac:dyDescent="0.3"/>
    <row r="5" spans="2:14" ht="21.75" thickBot="1" x14ac:dyDescent="0.4">
      <c r="E5" s="110" t="s">
        <v>0</v>
      </c>
      <c r="F5" s="111"/>
      <c r="G5" s="111"/>
      <c r="H5" s="111"/>
      <c r="I5" s="112"/>
      <c r="J5" s="110" t="s">
        <v>1</v>
      </c>
      <c r="K5" s="111"/>
      <c r="L5" s="111"/>
      <c r="M5" s="111"/>
      <c r="N5" s="112"/>
    </row>
    <row r="6" spans="2:14" ht="48" customHeight="1" thickBot="1" x14ac:dyDescent="0.3">
      <c r="D6" s="2" t="s">
        <v>2</v>
      </c>
      <c r="E6" s="3" t="s">
        <v>3</v>
      </c>
      <c r="F6" s="4" t="s">
        <v>4</v>
      </c>
      <c r="G6" s="4" t="s">
        <v>5</v>
      </c>
      <c r="H6" s="5" t="s">
        <v>6</v>
      </c>
      <c r="I6" s="6" t="s">
        <v>7</v>
      </c>
      <c r="J6" s="7" t="s">
        <v>3</v>
      </c>
      <c r="K6" s="5" t="s">
        <v>4</v>
      </c>
      <c r="L6" s="5" t="s">
        <v>5</v>
      </c>
      <c r="M6" s="5" t="s">
        <v>6</v>
      </c>
      <c r="N6" s="8" t="s">
        <v>7</v>
      </c>
    </row>
    <row r="7" spans="2:14" ht="17.25" customHeight="1" x14ac:dyDescent="0.25">
      <c r="B7" s="109">
        <v>10000000</v>
      </c>
      <c r="C7" s="9">
        <v>1</v>
      </c>
      <c r="D7" s="10">
        <v>1181412</v>
      </c>
      <c r="E7" s="11">
        <v>-1</v>
      </c>
      <c r="F7" s="12">
        <v>424.40509800000001</v>
      </c>
      <c r="G7" s="13">
        <v>10000000</v>
      </c>
      <c r="H7" s="113">
        <f t="shared" ref="H7:I7" si="0">AVERAGE(F7:F16)</f>
        <v>430.99737169999997</v>
      </c>
      <c r="I7" s="115">
        <f t="shared" si="0"/>
        <v>10000000</v>
      </c>
      <c r="J7" s="14">
        <v>-1</v>
      </c>
      <c r="K7" s="15">
        <v>1.37E-2</v>
      </c>
      <c r="L7" s="16">
        <v>86</v>
      </c>
      <c r="M7" s="116">
        <f t="shared" ref="M7:N7" si="1">AVERAGE(K7:K16)</f>
        <v>1.1370000000000002E-2</v>
      </c>
      <c r="N7" s="115">
        <f t="shared" si="1"/>
        <v>83.1</v>
      </c>
    </row>
    <row r="8" spans="2:14" ht="17.25" customHeight="1" x14ac:dyDescent="0.25">
      <c r="B8" s="98"/>
      <c r="C8" s="17">
        <v>2</v>
      </c>
      <c r="D8" s="18">
        <v>8144640</v>
      </c>
      <c r="E8" s="19">
        <v>-1</v>
      </c>
      <c r="F8" s="20">
        <v>418.04790500000001</v>
      </c>
      <c r="G8" s="21">
        <v>10000000</v>
      </c>
      <c r="H8" s="106"/>
      <c r="I8" s="98"/>
      <c r="J8" s="22">
        <v>-1</v>
      </c>
      <c r="K8" s="22">
        <v>1.1900000000000001E-2</v>
      </c>
      <c r="L8" s="23">
        <v>82</v>
      </c>
      <c r="M8" s="117"/>
      <c r="N8" s="98"/>
    </row>
    <row r="9" spans="2:14" ht="17.25" customHeight="1" x14ac:dyDescent="0.25">
      <c r="B9" s="98"/>
      <c r="C9" s="24">
        <v>3</v>
      </c>
      <c r="D9" s="25">
        <v>37554031</v>
      </c>
      <c r="E9" s="19">
        <v>-1</v>
      </c>
      <c r="F9" s="26">
        <v>431.12254100000001</v>
      </c>
      <c r="G9" s="21">
        <v>10000000</v>
      </c>
      <c r="H9" s="106"/>
      <c r="I9" s="98"/>
      <c r="J9" s="22">
        <v>-1</v>
      </c>
      <c r="K9" s="19">
        <v>1.21E-2</v>
      </c>
      <c r="L9" s="27">
        <v>84</v>
      </c>
      <c r="M9" s="117"/>
      <c r="N9" s="98"/>
    </row>
    <row r="10" spans="2:14" ht="17.25" customHeight="1" x14ac:dyDescent="0.25">
      <c r="B10" s="98"/>
      <c r="C10" s="24">
        <v>4</v>
      </c>
      <c r="D10" s="28">
        <v>26014993</v>
      </c>
      <c r="E10" s="29">
        <v>1</v>
      </c>
      <c r="F10" s="30">
        <v>429.937363</v>
      </c>
      <c r="G10" s="31">
        <v>10000000</v>
      </c>
      <c r="H10" s="106"/>
      <c r="I10" s="98"/>
      <c r="J10" s="22">
        <v>-1</v>
      </c>
      <c r="K10" s="19">
        <v>1.17E-2</v>
      </c>
      <c r="L10" s="23">
        <v>83</v>
      </c>
      <c r="M10" s="117"/>
      <c r="N10" s="98"/>
    </row>
    <row r="11" spans="2:14" ht="17.25" customHeight="1" x14ac:dyDescent="0.25">
      <c r="B11" s="98"/>
      <c r="C11" s="24">
        <v>5</v>
      </c>
      <c r="D11" s="32">
        <v>22109601</v>
      </c>
      <c r="E11" s="19">
        <v>-1</v>
      </c>
      <c r="F11" s="26">
        <v>435.31966199999999</v>
      </c>
      <c r="G11" s="21">
        <v>10000000</v>
      </c>
      <c r="H11" s="106"/>
      <c r="I11" s="98"/>
      <c r="J11" s="33">
        <v>-1</v>
      </c>
      <c r="K11" s="11">
        <v>0.01</v>
      </c>
      <c r="L11" s="34">
        <v>83</v>
      </c>
      <c r="M11" s="117"/>
      <c r="N11" s="98"/>
    </row>
    <row r="12" spans="2:14" ht="17.25" customHeight="1" x14ac:dyDescent="0.25">
      <c r="B12" s="93"/>
      <c r="C12" s="24">
        <v>6</v>
      </c>
      <c r="D12" s="25">
        <v>10579861</v>
      </c>
      <c r="E12" s="19">
        <v>-1</v>
      </c>
      <c r="F12" s="26">
        <v>450.86240800000002</v>
      </c>
      <c r="G12" s="21">
        <v>10000000</v>
      </c>
      <c r="H12" s="106"/>
      <c r="I12" s="98"/>
      <c r="J12" s="22">
        <v>-1</v>
      </c>
      <c r="K12" s="19">
        <v>1.0800000000000001E-2</v>
      </c>
      <c r="L12" s="23">
        <v>80</v>
      </c>
      <c r="M12" s="117"/>
      <c r="N12" s="98"/>
    </row>
    <row r="13" spans="2:14" ht="17.25" customHeight="1" x14ac:dyDescent="0.25">
      <c r="B13" s="108" t="s">
        <v>8</v>
      </c>
      <c r="C13" s="24">
        <v>7</v>
      </c>
      <c r="D13" s="25">
        <v>11361762</v>
      </c>
      <c r="E13" s="19">
        <v>-1</v>
      </c>
      <c r="F13" s="26">
        <v>432.06691699999999</v>
      </c>
      <c r="G13" s="21">
        <v>10000000</v>
      </c>
      <c r="H13" s="106"/>
      <c r="I13" s="98"/>
      <c r="J13" s="22">
        <v>-1</v>
      </c>
      <c r="K13" s="29">
        <v>1.1299999999999999E-2</v>
      </c>
      <c r="L13" s="35">
        <v>83</v>
      </c>
      <c r="M13" s="117"/>
      <c r="N13" s="98"/>
    </row>
    <row r="14" spans="2:14" ht="17.25" customHeight="1" x14ac:dyDescent="0.25">
      <c r="B14" s="98"/>
      <c r="C14" s="17">
        <v>8</v>
      </c>
      <c r="D14" s="18">
        <v>13541514</v>
      </c>
      <c r="E14" s="19">
        <v>-1</v>
      </c>
      <c r="F14" s="26">
        <v>427.958012</v>
      </c>
      <c r="G14" s="21">
        <v>10000000</v>
      </c>
      <c r="H14" s="106"/>
      <c r="I14" s="98"/>
      <c r="J14" s="22">
        <v>-1</v>
      </c>
      <c r="K14" s="36">
        <v>1.01E-2</v>
      </c>
      <c r="L14" s="23">
        <v>84</v>
      </c>
      <c r="M14" s="117"/>
      <c r="N14" s="98"/>
    </row>
    <row r="15" spans="2:14" ht="17.25" customHeight="1" x14ac:dyDescent="0.25">
      <c r="B15" s="98"/>
      <c r="C15" s="24">
        <v>9</v>
      </c>
      <c r="D15" s="25">
        <v>42428177</v>
      </c>
      <c r="E15" s="19">
        <v>-1</v>
      </c>
      <c r="F15" s="26">
        <v>425.65035799999998</v>
      </c>
      <c r="G15" s="21">
        <v>10000000</v>
      </c>
      <c r="H15" s="106"/>
      <c r="I15" s="98"/>
      <c r="J15" s="22">
        <v>-1</v>
      </c>
      <c r="K15" s="19">
        <v>1.14E-2</v>
      </c>
      <c r="L15" s="23">
        <v>82</v>
      </c>
      <c r="M15" s="117"/>
      <c r="N15" s="98"/>
    </row>
    <row r="16" spans="2:14" ht="17.25" customHeight="1" x14ac:dyDescent="0.25">
      <c r="B16" s="99"/>
      <c r="C16" s="37">
        <v>10</v>
      </c>
      <c r="D16" s="38">
        <v>3935917</v>
      </c>
      <c r="E16" s="39">
        <v>-1</v>
      </c>
      <c r="F16" s="40">
        <v>434.603453</v>
      </c>
      <c r="G16" s="41">
        <v>10000000</v>
      </c>
      <c r="H16" s="114"/>
      <c r="I16" s="99"/>
      <c r="J16" s="42">
        <v>-1</v>
      </c>
      <c r="K16" s="29">
        <v>1.0699999999999999E-2</v>
      </c>
      <c r="L16" s="35">
        <v>84</v>
      </c>
      <c r="M16" s="118"/>
      <c r="N16" s="99"/>
    </row>
    <row r="17" spans="2:14" ht="17.25" customHeight="1" x14ac:dyDescent="0.25">
      <c r="B17" s="109">
        <v>100000000</v>
      </c>
      <c r="C17" s="43">
        <v>1</v>
      </c>
      <c r="D17" s="44">
        <v>183906968</v>
      </c>
      <c r="E17" s="11">
        <v>-1</v>
      </c>
      <c r="F17" s="45">
        <v>4414.2699240000002</v>
      </c>
      <c r="G17" s="46">
        <v>100000000</v>
      </c>
      <c r="H17" s="100" t="s">
        <v>9</v>
      </c>
      <c r="I17" s="102" t="s">
        <v>10</v>
      </c>
      <c r="J17" s="47">
        <v>-1</v>
      </c>
      <c r="K17" s="48">
        <v>1.43E-2</v>
      </c>
      <c r="L17" s="46">
        <v>93</v>
      </c>
      <c r="M17" s="100" t="s">
        <v>9</v>
      </c>
      <c r="N17" s="104" t="s">
        <v>10</v>
      </c>
    </row>
    <row r="18" spans="2:14" ht="17.25" customHeight="1" x14ac:dyDescent="0.25">
      <c r="B18" s="98"/>
      <c r="C18" s="17">
        <v>2</v>
      </c>
      <c r="D18" s="22">
        <v>433297643</v>
      </c>
      <c r="E18" s="19">
        <v>-1</v>
      </c>
      <c r="F18" s="49">
        <v>4754.6298500000003</v>
      </c>
      <c r="G18" s="23">
        <v>100000000</v>
      </c>
      <c r="H18" s="101"/>
      <c r="I18" s="103"/>
      <c r="J18" s="32">
        <v>-1</v>
      </c>
      <c r="K18" s="19">
        <v>1.47E-2</v>
      </c>
      <c r="L18" s="23">
        <v>90</v>
      </c>
      <c r="M18" s="101"/>
      <c r="N18" s="93"/>
    </row>
    <row r="19" spans="2:14" ht="17.25" customHeight="1" x14ac:dyDescent="0.25">
      <c r="B19" s="98"/>
      <c r="C19" s="17">
        <v>3</v>
      </c>
      <c r="D19" s="22">
        <v>357170557</v>
      </c>
      <c r="E19" s="19">
        <v>-1</v>
      </c>
      <c r="F19" s="49">
        <v>4405.3730960000003</v>
      </c>
      <c r="G19" s="23">
        <v>100000000</v>
      </c>
      <c r="H19" s="119">
        <f t="shared" ref="H19:I19" si="2">H7*B17/B7</f>
        <v>4309.9737169999999</v>
      </c>
      <c r="I19" s="105">
        <f t="shared" si="2"/>
        <v>10000000</v>
      </c>
      <c r="J19" s="32">
        <v>-1</v>
      </c>
      <c r="K19" s="19">
        <v>1.5100000000000001E-2</v>
      </c>
      <c r="L19" s="23">
        <v>89</v>
      </c>
      <c r="M19" s="94">
        <f t="shared" ref="M19:N19" si="3">M7*B17/B7</f>
        <v>0.11370000000000002</v>
      </c>
      <c r="N19" s="97">
        <f t="shared" si="3"/>
        <v>83.1</v>
      </c>
    </row>
    <row r="20" spans="2:14" ht="17.25" customHeight="1" x14ac:dyDescent="0.25">
      <c r="B20" s="98"/>
      <c r="C20" s="17">
        <v>4</v>
      </c>
      <c r="D20" s="22">
        <v>153593893</v>
      </c>
      <c r="E20" s="19">
        <v>-1</v>
      </c>
      <c r="F20" s="49">
        <v>5196.2392330000002</v>
      </c>
      <c r="G20" s="23">
        <v>100000000</v>
      </c>
      <c r="H20" s="117"/>
      <c r="I20" s="106"/>
      <c r="J20" s="32">
        <v>-1</v>
      </c>
      <c r="K20" s="19">
        <v>1.38E-2</v>
      </c>
      <c r="L20" s="23">
        <v>97</v>
      </c>
      <c r="M20" s="95"/>
      <c r="N20" s="98"/>
    </row>
    <row r="21" spans="2:14" ht="17.25" customHeight="1" x14ac:dyDescent="0.25">
      <c r="B21" s="98"/>
      <c r="C21" s="17">
        <v>5</v>
      </c>
      <c r="D21" s="22">
        <v>191687316</v>
      </c>
      <c r="E21" s="19">
        <v>38334428</v>
      </c>
      <c r="F21" s="49">
        <v>1989.7181989999999</v>
      </c>
      <c r="G21" s="23">
        <v>38334429</v>
      </c>
      <c r="H21" s="103"/>
      <c r="I21" s="107"/>
      <c r="J21" s="32">
        <v>38334428</v>
      </c>
      <c r="K21" s="19">
        <v>1.29E-2</v>
      </c>
      <c r="L21" s="23">
        <v>92</v>
      </c>
      <c r="M21" s="101"/>
      <c r="N21" s="93"/>
    </row>
    <row r="22" spans="2:14" ht="17.25" customHeight="1" x14ac:dyDescent="0.25">
      <c r="B22" s="93"/>
      <c r="C22" s="17">
        <v>6</v>
      </c>
      <c r="D22" s="22">
        <v>87281545</v>
      </c>
      <c r="E22" s="19">
        <v>-1</v>
      </c>
      <c r="F22" s="49">
        <v>5177.4330140000002</v>
      </c>
      <c r="G22" s="23">
        <v>100000000</v>
      </c>
      <c r="H22" s="120" t="s">
        <v>11</v>
      </c>
      <c r="I22" s="121" t="s">
        <v>12</v>
      </c>
      <c r="J22" s="32">
        <v>-1</v>
      </c>
      <c r="K22" s="19">
        <v>1.38E-2</v>
      </c>
      <c r="L22" s="23">
        <v>91</v>
      </c>
      <c r="M22" s="120" t="s">
        <v>11</v>
      </c>
      <c r="N22" s="92" t="s">
        <v>12</v>
      </c>
    </row>
    <row r="23" spans="2:14" ht="17.25" customHeight="1" x14ac:dyDescent="0.25">
      <c r="B23" s="108" t="s">
        <v>13</v>
      </c>
      <c r="C23" s="17">
        <v>7</v>
      </c>
      <c r="D23" s="22">
        <v>202096158</v>
      </c>
      <c r="E23" s="19">
        <v>40415747</v>
      </c>
      <c r="F23" s="49">
        <v>2098.1204509999998</v>
      </c>
      <c r="G23" s="23">
        <v>40415748</v>
      </c>
      <c r="H23" s="101"/>
      <c r="I23" s="103"/>
      <c r="J23" s="32">
        <v>40415747</v>
      </c>
      <c r="K23" s="19">
        <v>1.2500000000000001E-2</v>
      </c>
      <c r="L23" s="23">
        <v>82</v>
      </c>
      <c r="M23" s="101"/>
      <c r="N23" s="93"/>
    </row>
    <row r="24" spans="2:14" ht="17.25" customHeight="1" x14ac:dyDescent="0.25">
      <c r="B24" s="98"/>
      <c r="C24" s="17">
        <v>8</v>
      </c>
      <c r="D24" s="22">
        <v>93308084</v>
      </c>
      <c r="E24" s="19">
        <v>-1</v>
      </c>
      <c r="F24" s="49">
        <v>4384.9024769999996</v>
      </c>
      <c r="G24" s="23">
        <v>100000000</v>
      </c>
      <c r="H24" s="122">
        <f t="shared" ref="H24:I24" si="4">AVERAGE(F17:F26)</f>
        <v>4121.3880300000001</v>
      </c>
      <c r="I24" s="105">
        <f t="shared" si="4"/>
        <v>87875017.700000003</v>
      </c>
      <c r="J24" s="32">
        <v>-1</v>
      </c>
      <c r="K24" s="19">
        <v>1.0800000000000001E-2</v>
      </c>
      <c r="L24" s="23">
        <v>96</v>
      </c>
      <c r="M24" s="94">
        <f t="shared" ref="M24:N24" si="5">AVERAGE(K17:K26)</f>
        <v>1.3420000000000001E-2</v>
      </c>
      <c r="N24" s="97">
        <f t="shared" si="5"/>
        <v>91.1</v>
      </c>
    </row>
    <row r="25" spans="2:14" ht="17.25" customHeight="1" x14ac:dyDescent="0.25">
      <c r="B25" s="98"/>
      <c r="C25" s="17">
        <v>9</v>
      </c>
      <c r="D25" s="22">
        <v>420735932</v>
      </c>
      <c r="E25" s="19">
        <v>-1</v>
      </c>
      <c r="F25" s="49">
        <v>4394.2234520000002</v>
      </c>
      <c r="G25" s="23">
        <v>100000000</v>
      </c>
      <c r="H25" s="95"/>
      <c r="I25" s="106"/>
      <c r="J25" s="32">
        <v>-1</v>
      </c>
      <c r="K25" s="19">
        <v>1.2999999999999999E-2</v>
      </c>
      <c r="L25" s="23">
        <v>91</v>
      </c>
      <c r="M25" s="95"/>
      <c r="N25" s="98"/>
    </row>
    <row r="26" spans="2:14" ht="17.25" customHeight="1" x14ac:dyDescent="0.25">
      <c r="B26" s="99"/>
      <c r="C26" s="50">
        <v>10</v>
      </c>
      <c r="D26" s="51">
        <v>82927104</v>
      </c>
      <c r="E26" s="39">
        <v>-1</v>
      </c>
      <c r="F26" s="52">
        <v>4398.9706040000001</v>
      </c>
      <c r="G26" s="41">
        <v>100000000</v>
      </c>
      <c r="H26" s="96"/>
      <c r="I26" s="114"/>
      <c r="J26" s="51">
        <v>-1</v>
      </c>
      <c r="K26" s="39">
        <v>1.3299999999999999E-2</v>
      </c>
      <c r="L26" s="41">
        <v>90</v>
      </c>
      <c r="M26" s="96"/>
      <c r="N26" s="99"/>
    </row>
    <row r="27" spans="2:14" ht="15.75" customHeight="1" x14ac:dyDescent="0.25"/>
    <row r="28" spans="2:14" ht="15.75" customHeight="1" x14ac:dyDescent="0.25"/>
    <row r="29" spans="2:14" ht="15.75" customHeight="1" x14ac:dyDescent="0.25"/>
    <row r="30" spans="2:14" ht="15.75" customHeight="1" x14ac:dyDescent="0.25"/>
    <row r="31" spans="2:14" ht="15.75" customHeight="1" x14ac:dyDescent="0.25"/>
    <row r="32" spans="2:1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6">
    <mergeCell ref="B13:B16"/>
    <mergeCell ref="B17:B22"/>
    <mergeCell ref="B23:B26"/>
    <mergeCell ref="E5:I5"/>
    <mergeCell ref="J5:N5"/>
    <mergeCell ref="B7:B12"/>
    <mergeCell ref="H7:H16"/>
    <mergeCell ref="I7:I16"/>
    <mergeCell ref="M7:M16"/>
    <mergeCell ref="N7:N16"/>
    <mergeCell ref="H19:H21"/>
    <mergeCell ref="H22:H23"/>
    <mergeCell ref="I22:I23"/>
    <mergeCell ref="H24:H26"/>
    <mergeCell ref="I24:I26"/>
    <mergeCell ref="M22:M23"/>
    <mergeCell ref="N22:N23"/>
    <mergeCell ref="M24:M26"/>
    <mergeCell ref="N24:N26"/>
    <mergeCell ref="H17:H18"/>
    <mergeCell ref="I17:I18"/>
    <mergeCell ref="M17:M18"/>
    <mergeCell ref="N17:N18"/>
    <mergeCell ref="I19:I21"/>
    <mergeCell ref="M19:M21"/>
    <mergeCell ref="N19:N21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X1000"/>
  <sheetViews>
    <sheetView topLeftCell="A5" zoomScale="85" zoomScaleNormal="85" workbookViewId="0">
      <selection activeCell="Q26" sqref="Q26"/>
    </sheetView>
  </sheetViews>
  <sheetFormatPr defaultColWidth="14.42578125" defaultRowHeight="15" customHeight="1" x14ac:dyDescent="0.25"/>
  <cols>
    <col min="1" max="1" width="1.140625" customWidth="1"/>
    <col min="2" max="2" width="36.28515625" customWidth="1"/>
    <col min="3" max="3" width="10.7109375" customWidth="1"/>
    <col min="4" max="24" width="9.85546875" customWidth="1"/>
    <col min="25" max="26" width="8.7109375" customWidth="1"/>
  </cols>
  <sheetData>
    <row r="3" spans="2:24" ht="27" customHeight="1" x14ac:dyDescent="0.4">
      <c r="D3" s="87" t="s">
        <v>14</v>
      </c>
      <c r="E3" s="88"/>
      <c r="F3" s="89">
        <v>10000</v>
      </c>
      <c r="G3" s="88"/>
      <c r="H3" s="89" t="s">
        <v>15</v>
      </c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90"/>
    </row>
    <row r="4" spans="2:24" ht="24.75" customHeight="1" x14ac:dyDescent="0.35">
      <c r="D4" s="91" t="s">
        <v>4</v>
      </c>
      <c r="E4" s="88"/>
      <c r="F4" s="88"/>
      <c r="G4" s="88"/>
      <c r="H4" s="88"/>
      <c r="I4" s="90"/>
      <c r="J4" s="91" t="s">
        <v>5</v>
      </c>
      <c r="K4" s="88"/>
      <c r="L4" s="88"/>
      <c r="M4" s="88"/>
      <c r="N4" s="88"/>
      <c r="O4" s="90"/>
      <c r="P4" s="91" t="s">
        <v>16</v>
      </c>
      <c r="Q4" s="88"/>
      <c r="R4" s="88"/>
      <c r="S4" s="88"/>
      <c r="T4" s="88"/>
      <c r="U4" s="90"/>
    </row>
    <row r="5" spans="2:24" ht="35.25" customHeight="1" x14ac:dyDescent="0.25">
      <c r="B5" s="53" t="s">
        <v>17</v>
      </c>
      <c r="C5" s="54" t="s">
        <v>18</v>
      </c>
      <c r="D5" s="55">
        <v>1</v>
      </c>
      <c r="E5" s="56">
        <v>2</v>
      </c>
      <c r="F5" s="56">
        <v>3</v>
      </c>
      <c r="G5" s="56">
        <v>4</v>
      </c>
      <c r="H5" s="56">
        <v>5</v>
      </c>
      <c r="I5" s="57" t="s">
        <v>19</v>
      </c>
      <c r="J5" s="55">
        <v>1</v>
      </c>
      <c r="K5" s="56">
        <v>2</v>
      </c>
      <c r="L5" s="56">
        <v>3</v>
      </c>
      <c r="M5" s="56">
        <v>4</v>
      </c>
      <c r="N5" s="56">
        <v>5</v>
      </c>
      <c r="O5" s="57" t="s">
        <v>19</v>
      </c>
      <c r="P5" s="55">
        <v>1</v>
      </c>
      <c r="Q5" s="56">
        <v>2</v>
      </c>
      <c r="R5" s="56">
        <v>3</v>
      </c>
      <c r="S5" s="56">
        <v>4</v>
      </c>
      <c r="T5" s="56">
        <v>5</v>
      </c>
      <c r="U5" s="57" t="s">
        <v>19</v>
      </c>
    </row>
    <row r="6" spans="2:24" ht="21" x14ac:dyDescent="0.35">
      <c r="B6" s="58" t="s">
        <v>20</v>
      </c>
      <c r="C6" s="59" t="s">
        <v>21</v>
      </c>
      <c r="D6" s="60">
        <v>4580.0200000000004</v>
      </c>
      <c r="E6" s="14">
        <v>5556.32</v>
      </c>
      <c r="F6" s="14">
        <v>4821.26</v>
      </c>
      <c r="G6" s="14">
        <v>4569.66</v>
      </c>
      <c r="H6" s="14">
        <v>4406.03</v>
      </c>
      <c r="I6" s="46">
        <f t="shared" ref="I6:I12" si="0">AVERAGE(C6:H6)</f>
        <v>4786.6580000000004</v>
      </c>
      <c r="J6" s="60">
        <v>49971564</v>
      </c>
      <c r="K6" s="14">
        <v>49968435</v>
      </c>
      <c r="L6" s="14">
        <v>49991840</v>
      </c>
      <c r="M6" s="14">
        <v>49986615</v>
      </c>
      <c r="N6" s="14">
        <v>49971995</v>
      </c>
      <c r="O6" s="46">
        <f t="shared" ref="O6:O13" si="1">AVERAGE(J6:N6)</f>
        <v>49978089.799999997</v>
      </c>
      <c r="P6" s="60">
        <v>75160137</v>
      </c>
      <c r="Q6" s="14">
        <v>75993747</v>
      </c>
      <c r="R6" s="14">
        <v>75669132</v>
      </c>
      <c r="S6" s="14">
        <v>75107601</v>
      </c>
      <c r="T6" s="14">
        <v>74347263</v>
      </c>
      <c r="U6" s="46">
        <f t="shared" ref="U6:U13" si="2">AVERAGE(P6:T6)</f>
        <v>75255576</v>
      </c>
    </row>
    <row r="7" spans="2:24" ht="21" x14ac:dyDescent="0.35">
      <c r="B7" s="61" t="s">
        <v>22</v>
      </c>
      <c r="C7" s="62" t="s">
        <v>21</v>
      </c>
      <c r="D7" s="22">
        <v>1970.22</v>
      </c>
      <c r="E7" s="42">
        <v>1929.22</v>
      </c>
      <c r="F7" s="42">
        <v>1915.26</v>
      </c>
      <c r="G7" s="42">
        <v>1931.74</v>
      </c>
      <c r="H7" s="42">
        <v>1934.09</v>
      </c>
      <c r="I7" s="46">
        <f t="shared" si="0"/>
        <v>1936.1059999999998</v>
      </c>
      <c r="J7" s="22">
        <v>49995000</v>
      </c>
      <c r="K7" s="42">
        <v>49995000</v>
      </c>
      <c r="L7" s="42">
        <v>49995000</v>
      </c>
      <c r="M7" s="42">
        <v>49995000</v>
      </c>
      <c r="N7" s="42">
        <v>49995000</v>
      </c>
      <c r="O7" s="23">
        <f t="shared" si="1"/>
        <v>49995000</v>
      </c>
      <c r="P7" s="22">
        <v>29997</v>
      </c>
      <c r="Q7" s="42">
        <v>29997</v>
      </c>
      <c r="R7" s="42">
        <v>29997</v>
      </c>
      <c r="S7" s="42">
        <v>29997</v>
      </c>
      <c r="T7" s="42">
        <v>29997</v>
      </c>
      <c r="U7" s="46">
        <f t="shared" si="2"/>
        <v>29997</v>
      </c>
    </row>
    <row r="8" spans="2:24" ht="21" x14ac:dyDescent="0.35">
      <c r="B8" s="61" t="s">
        <v>23</v>
      </c>
      <c r="C8" s="62" t="s">
        <v>21</v>
      </c>
      <c r="D8" s="22">
        <v>2577.89</v>
      </c>
      <c r="E8" s="22">
        <v>2615.34</v>
      </c>
      <c r="F8" s="22">
        <v>2692.76</v>
      </c>
      <c r="G8" s="22">
        <v>2615.25</v>
      </c>
      <c r="H8" s="22">
        <v>2615.4699999999998</v>
      </c>
      <c r="I8" s="46">
        <f t="shared" si="0"/>
        <v>2623.3419999999996</v>
      </c>
      <c r="J8" s="22">
        <v>24880373</v>
      </c>
      <c r="K8" s="22">
        <v>25107430</v>
      </c>
      <c r="L8" s="22">
        <v>25219787</v>
      </c>
      <c r="M8" s="22">
        <v>24968035</v>
      </c>
      <c r="N8" s="22">
        <v>25047686</v>
      </c>
      <c r="O8" s="23">
        <f t="shared" si="1"/>
        <v>25044662.199999999</v>
      </c>
      <c r="P8" s="22">
        <v>74621154</v>
      </c>
      <c r="Q8" s="22">
        <v>75302307</v>
      </c>
      <c r="R8" s="22">
        <v>75639405</v>
      </c>
      <c r="S8" s="22">
        <v>74884140</v>
      </c>
      <c r="T8" s="22">
        <v>75123075</v>
      </c>
      <c r="U8" s="46">
        <f t="shared" si="2"/>
        <v>75114016.200000003</v>
      </c>
    </row>
    <row r="9" spans="2:24" ht="21" x14ac:dyDescent="0.35">
      <c r="B9" s="61" t="s">
        <v>24</v>
      </c>
      <c r="C9" s="62" t="s">
        <v>21</v>
      </c>
      <c r="D9" s="22">
        <v>1385.03</v>
      </c>
      <c r="E9" s="22">
        <v>1362.54</v>
      </c>
      <c r="F9" s="22">
        <v>1349.24</v>
      </c>
      <c r="G9" s="22">
        <v>1461.7</v>
      </c>
      <c r="H9" s="22">
        <v>1355.96</v>
      </c>
      <c r="I9" s="46">
        <f t="shared" si="0"/>
        <v>1382.8939999999998</v>
      </c>
      <c r="J9" s="22">
        <v>118975</v>
      </c>
      <c r="K9" s="22">
        <v>119062</v>
      </c>
      <c r="L9" s="22">
        <v>119089</v>
      </c>
      <c r="M9" s="22">
        <v>118959</v>
      </c>
      <c r="N9" s="22">
        <v>118969</v>
      </c>
      <c r="O9" s="23">
        <f t="shared" si="1"/>
        <v>119010.8</v>
      </c>
      <c r="P9" s="22">
        <v>25234103</v>
      </c>
      <c r="Q9" s="22">
        <v>25188533</v>
      </c>
      <c r="R9" s="22">
        <v>25060445</v>
      </c>
      <c r="S9" s="22">
        <v>24445102</v>
      </c>
      <c r="T9" s="22">
        <v>24874861</v>
      </c>
      <c r="U9" s="46">
        <f t="shared" si="2"/>
        <v>24960608.800000001</v>
      </c>
    </row>
    <row r="10" spans="2:24" ht="21" x14ac:dyDescent="0.35">
      <c r="B10" s="61" t="s">
        <v>25</v>
      </c>
      <c r="C10" s="62" t="s">
        <v>26</v>
      </c>
      <c r="D10" s="22">
        <v>13</v>
      </c>
      <c r="E10" s="22">
        <v>14</v>
      </c>
      <c r="F10" s="22">
        <v>13</v>
      </c>
      <c r="G10" s="22">
        <v>12</v>
      </c>
      <c r="H10" s="22">
        <v>13.01</v>
      </c>
      <c r="I10" s="46">
        <f t="shared" si="0"/>
        <v>13.002000000000001</v>
      </c>
      <c r="J10" s="22">
        <v>152195</v>
      </c>
      <c r="K10" s="22">
        <v>150820</v>
      </c>
      <c r="L10" s="22">
        <v>151848</v>
      </c>
      <c r="M10" s="22">
        <v>154898</v>
      </c>
      <c r="N10" s="22">
        <v>153285</v>
      </c>
      <c r="O10" s="23">
        <f t="shared" si="1"/>
        <v>152609.20000000001</v>
      </c>
      <c r="P10" s="22">
        <v>258738</v>
      </c>
      <c r="Q10" s="22">
        <v>259293</v>
      </c>
      <c r="R10" s="22">
        <v>236781</v>
      </c>
      <c r="S10" s="22">
        <v>231321</v>
      </c>
      <c r="T10" s="22">
        <v>241170</v>
      </c>
      <c r="U10" s="46">
        <f t="shared" si="2"/>
        <v>245460.6</v>
      </c>
    </row>
    <row r="11" spans="2:24" ht="21" x14ac:dyDescent="0.35">
      <c r="B11" s="63" t="s">
        <v>27</v>
      </c>
      <c r="C11" s="62" t="s">
        <v>26</v>
      </c>
      <c r="D11" s="42">
        <v>19.010000000000002</v>
      </c>
      <c r="E11" s="42">
        <v>19</v>
      </c>
      <c r="F11" s="42">
        <v>19</v>
      </c>
      <c r="G11" s="42">
        <v>19</v>
      </c>
      <c r="H11" s="42">
        <v>20.3</v>
      </c>
      <c r="I11" s="46">
        <f t="shared" si="0"/>
        <v>19.262</v>
      </c>
      <c r="J11" s="42">
        <v>120385</v>
      </c>
      <c r="K11" s="42">
        <v>120465</v>
      </c>
      <c r="L11" s="42">
        <v>120393</v>
      </c>
      <c r="M11" s="42">
        <v>120503</v>
      </c>
      <c r="N11" s="42">
        <v>120415</v>
      </c>
      <c r="O11" s="34">
        <f t="shared" si="1"/>
        <v>120432.2</v>
      </c>
      <c r="P11" s="42">
        <v>133616</v>
      </c>
      <c r="Q11" s="42">
        <v>133616</v>
      </c>
      <c r="R11" s="42">
        <v>133616</v>
      </c>
      <c r="S11" s="42">
        <v>133616</v>
      </c>
      <c r="T11" s="42">
        <v>133616</v>
      </c>
      <c r="U11" s="46">
        <f t="shared" si="2"/>
        <v>133616</v>
      </c>
    </row>
    <row r="12" spans="2:24" ht="21" x14ac:dyDescent="0.35">
      <c r="B12" s="64" t="s">
        <v>28</v>
      </c>
      <c r="C12" s="62" t="s">
        <v>29</v>
      </c>
      <c r="D12" s="65">
        <v>8</v>
      </c>
      <c r="E12" s="65">
        <v>10</v>
      </c>
      <c r="F12" s="65">
        <v>9</v>
      </c>
      <c r="G12" s="65">
        <v>9</v>
      </c>
      <c r="H12" s="65">
        <v>8</v>
      </c>
      <c r="I12" s="46">
        <f t="shared" si="0"/>
        <v>8.8000000000000007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41">
        <f t="shared" si="1"/>
        <v>0</v>
      </c>
      <c r="P12" s="65">
        <v>50000</v>
      </c>
      <c r="Q12" s="65">
        <v>60000</v>
      </c>
      <c r="R12" s="65">
        <v>50000</v>
      </c>
      <c r="S12" s="65">
        <v>50000</v>
      </c>
      <c r="T12" s="65">
        <v>50000</v>
      </c>
      <c r="U12" s="46">
        <f t="shared" si="2"/>
        <v>52000</v>
      </c>
    </row>
    <row r="13" spans="2:24" ht="15" customHeight="1" x14ac:dyDescent="0.35">
      <c r="B13" s="85" t="s">
        <v>46</v>
      </c>
      <c r="D13" s="33">
        <v>11.51</v>
      </c>
      <c r="E13" s="33">
        <v>10.51</v>
      </c>
      <c r="F13" s="33">
        <v>12.01</v>
      </c>
      <c r="G13" s="33">
        <v>11.01</v>
      </c>
      <c r="H13" s="33">
        <v>12.67</v>
      </c>
      <c r="I13" s="86">
        <f>AVERAGE(C13:H13)</f>
        <v>11.542</v>
      </c>
      <c r="J13" s="33">
        <v>153150</v>
      </c>
      <c r="K13" s="33">
        <v>148262</v>
      </c>
      <c r="L13" s="33">
        <v>153651</v>
      </c>
      <c r="M13" s="33">
        <v>165279</v>
      </c>
      <c r="N13" s="33">
        <v>179295</v>
      </c>
      <c r="O13" s="86">
        <f t="shared" si="1"/>
        <v>159927.4</v>
      </c>
      <c r="P13" s="33">
        <v>10000</v>
      </c>
      <c r="Q13" s="33">
        <v>10000</v>
      </c>
      <c r="R13" s="33">
        <v>10000</v>
      </c>
      <c r="S13" s="33">
        <v>10000</v>
      </c>
      <c r="T13" s="33">
        <v>10000</v>
      </c>
      <c r="U13" s="86">
        <f t="shared" si="2"/>
        <v>10000</v>
      </c>
    </row>
    <row r="15" spans="2:24" ht="26.25" x14ac:dyDescent="0.4">
      <c r="D15" s="87" t="s">
        <v>14</v>
      </c>
      <c r="E15" s="88"/>
      <c r="F15" s="89">
        <v>20000</v>
      </c>
      <c r="G15" s="88"/>
      <c r="H15" s="89" t="s">
        <v>15</v>
      </c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90"/>
    </row>
    <row r="16" spans="2:24" ht="23.25" x14ac:dyDescent="0.35">
      <c r="D16" s="91" t="s">
        <v>4</v>
      </c>
      <c r="E16" s="88"/>
      <c r="F16" s="88"/>
      <c r="G16" s="88"/>
      <c r="H16" s="88"/>
      <c r="I16" s="88"/>
      <c r="J16" s="90"/>
      <c r="K16" s="91" t="s">
        <v>5</v>
      </c>
      <c r="L16" s="88"/>
      <c r="M16" s="88"/>
      <c r="N16" s="88"/>
      <c r="O16" s="88"/>
      <c r="P16" s="88"/>
      <c r="Q16" s="90"/>
      <c r="R16" s="91" t="s">
        <v>16</v>
      </c>
      <c r="S16" s="88"/>
      <c r="T16" s="88"/>
      <c r="U16" s="88"/>
      <c r="V16" s="88"/>
      <c r="W16" s="88"/>
      <c r="X16" s="90"/>
    </row>
    <row r="17" spans="2:24" ht="31.5" x14ac:dyDescent="0.25">
      <c r="B17" s="53" t="s">
        <v>17</v>
      </c>
      <c r="C17" s="54" t="s">
        <v>18</v>
      </c>
      <c r="D17" s="66" t="s">
        <v>30</v>
      </c>
      <c r="E17" s="67">
        <v>1</v>
      </c>
      <c r="F17" s="67">
        <v>2</v>
      </c>
      <c r="G17" s="67">
        <v>3</v>
      </c>
      <c r="H17" s="67">
        <v>4</v>
      </c>
      <c r="I17" s="67">
        <v>5</v>
      </c>
      <c r="J17" s="68" t="s">
        <v>19</v>
      </c>
      <c r="K17" s="66" t="s">
        <v>30</v>
      </c>
      <c r="L17" s="67">
        <v>1</v>
      </c>
      <c r="M17" s="67">
        <v>2</v>
      </c>
      <c r="N17" s="67">
        <v>3</v>
      </c>
      <c r="O17" s="67">
        <v>4</v>
      </c>
      <c r="P17" s="67">
        <v>5</v>
      </c>
      <c r="Q17" s="68" t="s">
        <v>19</v>
      </c>
      <c r="R17" s="66" t="s">
        <v>30</v>
      </c>
      <c r="S17" s="67">
        <v>1</v>
      </c>
      <c r="T17" s="67">
        <v>2</v>
      </c>
      <c r="U17" s="67">
        <v>3</v>
      </c>
      <c r="V17" s="67">
        <v>4</v>
      </c>
      <c r="W17" s="67">
        <v>5</v>
      </c>
      <c r="X17" s="68" t="s">
        <v>19</v>
      </c>
    </row>
    <row r="18" spans="2:24" ht="21" x14ac:dyDescent="0.35">
      <c r="B18" s="58" t="s">
        <v>20</v>
      </c>
      <c r="C18" s="59" t="s">
        <v>21</v>
      </c>
      <c r="D18" s="69">
        <f>I6*(F15/F3)^2</f>
        <v>19146.632000000001</v>
      </c>
      <c r="E18" s="11">
        <v>19635.5</v>
      </c>
      <c r="F18" s="11">
        <v>18363.8</v>
      </c>
      <c r="G18" s="11">
        <v>17505.560000000001</v>
      </c>
      <c r="H18" s="11">
        <v>16964.96</v>
      </c>
      <c r="I18" s="11">
        <v>17785.91</v>
      </c>
      <c r="J18" s="70">
        <f t="shared" ref="J18:J24" si="3">AVERAGE(E18:I18)</f>
        <v>18051.146000000001</v>
      </c>
      <c r="K18" s="71">
        <f>O6*(F15/F3)^2</f>
        <v>199912359.19999999</v>
      </c>
      <c r="L18" s="11">
        <v>199985247</v>
      </c>
      <c r="M18" s="11">
        <v>199986345</v>
      </c>
      <c r="N18" s="11">
        <v>199935385</v>
      </c>
      <c r="O18" s="11">
        <v>199988230</v>
      </c>
      <c r="P18" s="11">
        <v>199969699</v>
      </c>
      <c r="Q18" s="70">
        <f t="shared" ref="Q18:Q24" si="4">AVERAGE(L18:P18)</f>
        <v>199972981.19999999</v>
      </c>
      <c r="R18" s="71">
        <f>U6*(F15/F3)^2</f>
        <v>301022304</v>
      </c>
      <c r="S18" s="11">
        <v>298489347</v>
      </c>
      <c r="T18" s="11">
        <v>299657718</v>
      </c>
      <c r="U18" s="11">
        <v>301563492</v>
      </c>
      <c r="V18" s="11">
        <v>297026730</v>
      </c>
      <c r="W18" s="11">
        <v>301981446</v>
      </c>
      <c r="X18" s="70">
        <f t="shared" ref="X18:X24" si="5">AVERAGE(S18:W18)</f>
        <v>299743746.60000002</v>
      </c>
    </row>
    <row r="19" spans="2:24" ht="21" x14ac:dyDescent="0.35">
      <c r="B19" s="61" t="s">
        <v>22</v>
      </c>
      <c r="C19" s="62" t="s">
        <v>21</v>
      </c>
      <c r="D19" s="72">
        <f>I7*(F15/F3)^2</f>
        <v>7744.4239999999991</v>
      </c>
      <c r="E19" s="19">
        <v>7621</v>
      </c>
      <c r="F19" s="19">
        <v>7614.15</v>
      </c>
      <c r="G19" s="19">
        <v>7585.92</v>
      </c>
      <c r="H19" s="19">
        <v>7480.1</v>
      </c>
      <c r="I19" s="19">
        <v>7618.04</v>
      </c>
      <c r="J19" s="70">
        <f t="shared" si="3"/>
        <v>7583.8419999999996</v>
      </c>
      <c r="K19" s="32">
        <f>O7*(F15/F3)^2</f>
        <v>199980000</v>
      </c>
      <c r="L19" s="19">
        <v>199990000</v>
      </c>
      <c r="M19" s="19">
        <v>199990000</v>
      </c>
      <c r="N19" s="19">
        <v>199990000</v>
      </c>
      <c r="O19" s="19">
        <v>199990000</v>
      </c>
      <c r="P19" s="19">
        <v>199990000</v>
      </c>
      <c r="Q19" s="70">
        <f t="shared" si="4"/>
        <v>199990000</v>
      </c>
      <c r="R19" s="32">
        <f>U7*(F15/F3)</f>
        <v>59994</v>
      </c>
      <c r="S19" s="19">
        <v>59997</v>
      </c>
      <c r="T19" s="19">
        <v>59997</v>
      </c>
      <c r="U19" s="19">
        <v>59997</v>
      </c>
      <c r="V19" s="19">
        <v>59997</v>
      </c>
      <c r="W19" s="19">
        <v>59997</v>
      </c>
      <c r="X19" s="70">
        <f t="shared" si="5"/>
        <v>59997</v>
      </c>
    </row>
    <row r="20" spans="2:24" ht="21" x14ac:dyDescent="0.35">
      <c r="B20" s="61" t="s">
        <v>23</v>
      </c>
      <c r="C20" s="62" t="s">
        <v>21</v>
      </c>
      <c r="D20" s="72">
        <f>I8*(F15/F3)^2</f>
        <v>10493.367999999999</v>
      </c>
      <c r="E20" s="19">
        <v>10570.33</v>
      </c>
      <c r="F20" s="19">
        <v>10887.77</v>
      </c>
      <c r="G20" s="19">
        <v>11142.76</v>
      </c>
      <c r="H20" s="19">
        <v>10872.52</v>
      </c>
      <c r="I20" s="19">
        <v>11166.38</v>
      </c>
      <c r="J20" s="70">
        <f t="shared" si="3"/>
        <v>10927.952000000001</v>
      </c>
      <c r="K20" s="32">
        <f>O8*(F15/F3)^2</f>
        <v>100178648.8</v>
      </c>
      <c r="L20" s="19">
        <v>99599257</v>
      </c>
      <c r="M20" s="19">
        <v>99440147</v>
      </c>
      <c r="N20" s="19">
        <v>99941249</v>
      </c>
      <c r="O20" s="19">
        <v>99706996</v>
      </c>
      <c r="P20" s="19">
        <v>100784213</v>
      </c>
      <c r="Q20" s="70">
        <f t="shared" si="4"/>
        <v>99894372.400000006</v>
      </c>
      <c r="R20" s="32">
        <f>U8*(F15/F3)^2</f>
        <v>300456064.80000001</v>
      </c>
      <c r="S20" s="19">
        <v>298757791</v>
      </c>
      <c r="T20" s="19">
        <v>298280473</v>
      </c>
      <c r="U20" s="19">
        <v>299783794</v>
      </c>
      <c r="V20" s="19">
        <v>299081026</v>
      </c>
      <c r="W20" s="19">
        <v>302312674</v>
      </c>
      <c r="X20" s="70">
        <f t="shared" si="5"/>
        <v>299643151.60000002</v>
      </c>
    </row>
    <row r="21" spans="2:24" ht="15.75" customHeight="1" x14ac:dyDescent="0.35">
      <c r="B21" s="61" t="s">
        <v>24</v>
      </c>
      <c r="C21" s="62" t="s">
        <v>21</v>
      </c>
      <c r="D21" s="72">
        <f>I9*(F15/F3)^2</f>
        <v>5531.5759999999991</v>
      </c>
      <c r="E21" s="19">
        <v>5680.13</v>
      </c>
      <c r="F21" s="19">
        <v>5412.04</v>
      </c>
      <c r="G21" s="19">
        <v>5688.6</v>
      </c>
      <c r="H21" s="19">
        <v>5931.19</v>
      </c>
      <c r="I21" s="19">
        <v>5617.89</v>
      </c>
      <c r="J21" s="70">
        <f t="shared" si="3"/>
        <v>5665.9699999999993</v>
      </c>
      <c r="K21" s="32">
        <f>O9*(F15/F3)^2</f>
        <v>476043.2</v>
      </c>
      <c r="L21" s="19">
        <v>258012</v>
      </c>
      <c r="M21" s="19">
        <v>258081</v>
      </c>
      <c r="N21" s="19">
        <v>257935</v>
      </c>
      <c r="O21" s="19">
        <v>257976</v>
      </c>
      <c r="P21" s="19">
        <v>258016</v>
      </c>
      <c r="Q21" s="70">
        <f t="shared" si="4"/>
        <v>258004</v>
      </c>
      <c r="R21" s="32">
        <f>U9*(F15/F3)^2</f>
        <v>99842435.200000003</v>
      </c>
      <c r="S21" s="19">
        <v>100131592</v>
      </c>
      <c r="T21" s="19">
        <v>100045573</v>
      </c>
      <c r="U21" s="19">
        <v>99660537</v>
      </c>
      <c r="V21" s="19">
        <v>100801352</v>
      </c>
      <c r="W21" s="19">
        <v>100460012</v>
      </c>
      <c r="X21" s="70">
        <f t="shared" si="5"/>
        <v>100219813.2</v>
      </c>
    </row>
    <row r="22" spans="2:24" ht="15.75" customHeight="1" x14ac:dyDescent="0.35">
      <c r="B22" s="61" t="s">
        <v>25</v>
      </c>
      <c r="C22" s="62" t="s">
        <v>26</v>
      </c>
      <c r="D22" s="72">
        <f>I10* ((F15* LOG(F15,2))/(F3*LOG(F3,2)))</f>
        <v>27.960996001811544</v>
      </c>
      <c r="E22" s="19">
        <v>35.51</v>
      </c>
      <c r="F22" s="19">
        <v>45</v>
      </c>
      <c r="G22" s="19">
        <v>34.51</v>
      </c>
      <c r="H22" s="19">
        <v>34</v>
      </c>
      <c r="I22" s="19">
        <v>35.51</v>
      </c>
      <c r="J22" s="70">
        <f t="shared" si="3"/>
        <v>36.905999999999992</v>
      </c>
      <c r="K22" s="32">
        <f>O10*(F15*LOG(F15,2))/(F3*LOG(F3,2))</f>
        <v>328188.37340714183</v>
      </c>
      <c r="L22" s="19">
        <v>330664</v>
      </c>
      <c r="M22" s="19">
        <v>359267</v>
      </c>
      <c r="N22" s="19">
        <v>360638</v>
      </c>
      <c r="O22" s="19">
        <v>326424</v>
      </c>
      <c r="P22" s="19">
        <v>338641</v>
      </c>
      <c r="Q22" s="70">
        <f t="shared" si="4"/>
        <v>343126.8</v>
      </c>
      <c r="R22" s="32">
        <f>U10*(F15*LOG(F15,2))/(F3*LOG(F3,2))</f>
        <v>527866.70167683915</v>
      </c>
      <c r="S22" s="19">
        <v>530298</v>
      </c>
      <c r="T22" s="19">
        <v>631671</v>
      </c>
      <c r="U22" s="19">
        <v>601746</v>
      </c>
      <c r="V22" s="19">
        <v>551961</v>
      </c>
      <c r="W22" s="19">
        <v>586590</v>
      </c>
      <c r="X22" s="70">
        <f t="shared" si="5"/>
        <v>580453.19999999995</v>
      </c>
    </row>
    <row r="23" spans="2:24" ht="15.75" customHeight="1" x14ac:dyDescent="0.35">
      <c r="B23" s="63" t="s">
        <v>27</v>
      </c>
      <c r="C23" s="62" t="s">
        <v>26</v>
      </c>
      <c r="D23" s="73">
        <f>I11*(F15*LOG(F15,2))/(F3*LOG(F3,2))</f>
        <v>41.423219888239807</v>
      </c>
      <c r="E23" s="36">
        <v>47</v>
      </c>
      <c r="F23" s="36">
        <v>61.51</v>
      </c>
      <c r="G23" s="36">
        <v>48</v>
      </c>
      <c r="H23" s="36">
        <v>47.03</v>
      </c>
      <c r="I23" s="36">
        <v>43</v>
      </c>
      <c r="J23" s="70">
        <f t="shared" si="3"/>
        <v>49.308</v>
      </c>
      <c r="K23" s="74">
        <f>O11*(F15*LOG(F15,2))/(F3*LOG(F3,2))</f>
        <v>258991.25232190182</v>
      </c>
      <c r="L23" s="36">
        <v>260802</v>
      </c>
      <c r="M23" s="36">
        <v>260845</v>
      </c>
      <c r="N23" s="36">
        <v>260799</v>
      </c>
      <c r="O23" s="36">
        <v>261012</v>
      </c>
      <c r="P23" s="36">
        <v>260933</v>
      </c>
      <c r="Q23" s="70">
        <f t="shared" si="4"/>
        <v>260878.2</v>
      </c>
      <c r="R23" s="74">
        <f>U11*(F15*LOG(F15,2))/(F3*LOG(F3,2))</f>
        <v>287343.21195031924</v>
      </c>
      <c r="S23" s="36">
        <v>287232</v>
      </c>
      <c r="T23" s="36">
        <v>287232</v>
      </c>
      <c r="U23" s="36">
        <v>287232</v>
      </c>
      <c r="V23" s="36">
        <v>287232</v>
      </c>
      <c r="W23" s="36">
        <v>287232</v>
      </c>
      <c r="X23" s="70">
        <f t="shared" si="5"/>
        <v>287232</v>
      </c>
    </row>
    <row r="24" spans="2:24" ht="15.75" customHeight="1" x14ac:dyDescent="0.35">
      <c r="B24" s="64" t="s">
        <v>28</v>
      </c>
      <c r="C24" s="62" t="s">
        <v>29</v>
      </c>
      <c r="D24" s="75">
        <f>I12*(F15/F3)</f>
        <v>17.600000000000001</v>
      </c>
      <c r="E24" s="39">
        <v>26.51</v>
      </c>
      <c r="F24" s="39">
        <v>25</v>
      </c>
      <c r="G24" s="39">
        <v>26.01</v>
      </c>
      <c r="H24" s="39">
        <v>26.51</v>
      </c>
      <c r="I24" s="39">
        <v>25</v>
      </c>
      <c r="J24" s="70">
        <f t="shared" si="3"/>
        <v>25.806000000000004</v>
      </c>
      <c r="K24" s="51">
        <f>O12*(F15/F3)</f>
        <v>0</v>
      </c>
      <c r="L24" s="39">
        <v>0</v>
      </c>
      <c r="M24" s="39">
        <v>0</v>
      </c>
      <c r="N24" s="39">
        <v>0</v>
      </c>
      <c r="O24" s="39">
        <v>0</v>
      </c>
      <c r="P24" s="39">
        <v>0</v>
      </c>
      <c r="Q24" s="70">
        <f t="shared" si="4"/>
        <v>0</v>
      </c>
      <c r="R24" s="51">
        <f>U12*(F15/F3)</f>
        <v>104000</v>
      </c>
      <c r="S24" s="39">
        <v>120000</v>
      </c>
      <c r="T24" s="39">
        <v>120000</v>
      </c>
      <c r="U24" s="39">
        <v>120000</v>
      </c>
      <c r="V24" s="39">
        <v>120000</v>
      </c>
      <c r="W24" s="39">
        <v>120000</v>
      </c>
      <c r="X24" s="70">
        <f t="shared" si="5"/>
        <v>120000</v>
      </c>
    </row>
    <row r="25" spans="2:24" ht="15.75" customHeight="1" x14ac:dyDescent="0.35">
      <c r="B25" s="85" t="s">
        <v>46</v>
      </c>
      <c r="C25" t="s">
        <v>48</v>
      </c>
      <c r="D25">
        <f>I13*(F15*LOG(F15,2))/(F3*LOG(F3,2))</f>
        <v>24.821244104976834</v>
      </c>
      <c r="E25">
        <v>25.52</v>
      </c>
      <c r="F25">
        <v>25.97</v>
      </c>
      <c r="G25">
        <v>28.04</v>
      </c>
      <c r="H25">
        <v>34.83</v>
      </c>
      <c r="I25">
        <v>30.52</v>
      </c>
      <c r="J25">
        <f>AVERAGE(E25:I25)</f>
        <v>28.975999999999999</v>
      </c>
      <c r="K25">
        <f>O13*(F15*LOG(F15,2))/(F3*LOG(F3,2))</f>
        <v>343926.27226427587</v>
      </c>
      <c r="L25">
        <v>337738</v>
      </c>
      <c r="M25">
        <v>325588</v>
      </c>
      <c r="N25">
        <v>328743</v>
      </c>
      <c r="O25">
        <v>336321</v>
      </c>
      <c r="P25">
        <v>333296</v>
      </c>
      <c r="Q25" s="86">
        <f>AVERAGE(L25:P25)</f>
        <v>332337.2</v>
      </c>
      <c r="R25">
        <f>U13*(F15*LOG(F15,2))/(F3*LOG(F3,2))</f>
        <v>21505.149978319903</v>
      </c>
      <c r="S25">
        <v>20000</v>
      </c>
      <c r="T25" s="29">
        <v>20000</v>
      </c>
      <c r="U25" s="29">
        <v>20000</v>
      </c>
      <c r="V25" s="29">
        <v>20000</v>
      </c>
      <c r="W25" s="29">
        <v>20000</v>
      </c>
      <c r="X25" s="86">
        <f>AVERAGE(S25:W25)</f>
        <v>20000</v>
      </c>
    </row>
    <row r="26" spans="2:24" ht="15.75" customHeight="1" x14ac:dyDescent="0.25"/>
    <row r="27" spans="2:24" ht="15.75" customHeight="1" x14ac:dyDescent="0.25"/>
    <row r="28" spans="2:24" ht="15.75" customHeight="1" x14ac:dyDescent="0.25"/>
    <row r="29" spans="2:24" ht="15.75" customHeight="1" x14ac:dyDescent="0.25"/>
    <row r="30" spans="2:24" ht="15.75" customHeight="1" x14ac:dyDescent="0.25"/>
    <row r="31" spans="2:24" ht="15.75" customHeight="1" x14ac:dyDescent="0.25"/>
    <row r="32" spans="2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spans="3:7" ht="15.75" customHeight="1" x14ac:dyDescent="0.25">
      <c r="C49" s="1">
        <v>40487900</v>
      </c>
      <c r="D49" s="1">
        <v>38929800</v>
      </c>
      <c r="E49" s="1">
        <v>40598700</v>
      </c>
      <c r="F49" s="1">
        <v>37994500</v>
      </c>
      <c r="G49" s="1">
        <v>39030400</v>
      </c>
    </row>
    <row r="50" spans="3:7" ht="15.75" customHeight="1" x14ac:dyDescent="0.25">
      <c r="C50" s="1">
        <v>1041700</v>
      </c>
      <c r="D50" s="1">
        <v>763900</v>
      </c>
      <c r="E50" s="1">
        <v>897200</v>
      </c>
      <c r="F50" s="1">
        <v>904800</v>
      </c>
      <c r="G50" s="1">
        <v>1076300</v>
      </c>
    </row>
    <row r="51" spans="3:7" ht="15.75" customHeight="1" x14ac:dyDescent="0.25">
      <c r="C51" s="1">
        <v>28316400</v>
      </c>
      <c r="D51" s="1">
        <v>28959200</v>
      </c>
      <c r="E51" s="1">
        <v>29387200</v>
      </c>
      <c r="F51" s="1">
        <v>28380700</v>
      </c>
      <c r="G51" s="1">
        <v>29108200</v>
      </c>
    </row>
    <row r="52" spans="3:7" ht="15.75" customHeight="1" x14ac:dyDescent="0.25">
      <c r="C52" s="1">
        <v>789900</v>
      </c>
      <c r="D52" s="1">
        <v>654900</v>
      </c>
      <c r="E52" s="1">
        <v>619800</v>
      </c>
      <c r="F52" s="1">
        <v>702200</v>
      </c>
      <c r="G52" s="1">
        <v>765000</v>
      </c>
    </row>
    <row r="53" spans="3:7" ht="15.75" customHeight="1" x14ac:dyDescent="0.25">
      <c r="C53" s="1">
        <v>33085400</v>
      </c>
      <c r="D53" s="1">
        <v>32454700</v>
      </c>
      <c r="E53" s="1">
        <v>31823900</v>
      </c>
      <c r="F53" s="1">
        <v>32723200</v>
      </c>
      <c r="G53" s="1">
        <v>33355900</v>
      </c>
    </row>
    <row r="54" spans="3:7" ht="15.75" customHeight="1" x14ac:dyDescent="0.25">
      <c r="C54" s="1">
        <v>135200</v>
      </c>
      <c r="D54" s="1">
        <v>122800</v>
      </c>
      <c r="E54" s="1">
        <v>121700</v>
      </c>
      <c r="F54" s="1">
        <v>133900</v>
      </c>
      <c r="G54" s="1">
        <v>130600</v>
      </c>
    </row>
    <row r="55" spans="3:7" ht="15.75" customHeight="1" x14ac:dyDescent="0.25">
      <c r="C55" s="1">
        <v>391900</v>
      </c>
      <c r="D55" s="1">
        <v>369700</v>
      </c>
      <c r="E55" s="1">
        <v>359700</v>
      </c>
      <c r="F55" s="1">
        <v>396200</v>
      </c>
      <c r="G55" s="1">
        <v>396500</v>
      </c>
    </row>
    <row r="56" spans="3:7" ht="15.75" customHeight="1" x14ac:dyDescent="0.25">
      <c r="C56" s="1">
        <v>451600</v>
      </c>
      <c r="D56" s="1">
        <v>425000</v>
      </c>
      <c r="E56" s="1">
        <v>416100</v>
      </c>
      <c r="F56" s="1">
        <v>454500</v>
      </c>
      <c r="G56" s="1">
        <v>446900</v>
      </c>
    </row>
    <row r="57" spans="3:7" ht="15.75" customHeight="1" x14ac:dyDescent="0.25">
      <c r="C57" s="1">
        <v>32227600</v>
      </c>
      <c r="D57" s="1">
        <v>33173300</v>
      </c>
      <c r="E57" s="1">
        <v>30628800</v>
      </c>
      <c r="F57" s="1">
        <v>30867900</v>
      </c>
      <c r="G57" s="1">
        <v>30592800</v>
      </c>
    </row>
    <row r="58" spans="3:7" ht="15.75" customHeight="1" x14ac:dyDescent="0.25">
      <c r="C58" s="1"/>
      <c r="D58" s="1"/>
      <c r="E58" s="1"/>
      <c r="F58" s="1"/>
      <c r="G58" s="1"/>
    </row>
    <row r="59" spans="3:7" ht="15.75" customHeight="1" x14ac:dyDescent="0.25">
      <c r="C59" s="1">
        <v>4070632500</v>
      </c>
      <c r="D59" s="1">
        <v>3916273600</v>
      </c>
      <c r="E59" s="1">
        <v>3912912000</v>
      </c>
      <c r="F59" s="1">
        <v>3883502200</v>
      </c>
      <c r="G59" s="1">
        <v>4046147300</v>
      </c>
    </row>
    <row r="60" spans="3:7" ht="15.75" customHeight="1" x14ac:dyDescent="0.25">
      <c r="C60" s="1">
        <v>12442500</v>
      </c>
      <c r="D60" s="1">
        <v>13210900</v>
      </c>
      <c r="E60" s="1">
        <v>10435500</v>
      </c>
      <c r="F60" s="1">
        <v>11862400</v>
      </c>
      <c r="G60" s="1">
        <v>12064800</v>
      </c>
    </row>
    <row r="61" spans="3:7" ht="15.75" customHeight="1" x14ac:dyDescent="0.25">
      <c r="C61" s="1">
        <v>2859760200</v>
      </c>
      <c r="D61" s="1">
        <v>2878537400</v>
      </c>
      <c r="E61" s="1">
        <v>2814107600</v>
      </c>
      <c r="F61" s="1">
        <v>2875314500</v>
      </c>
      <c r="G61" s="1">
        <v>2808641000</v>
      </c>
    </row>
    <row r="62" spans="3:7" ht="15.75" customHeight="1" x14ac:dyDescent="0.25">
      <c r="C62" s="1">
        <v>8602100</v>
      </c>
      <c r="D62" s="1">
        <v>10342100</v>
      </c>
      <c r="E62" s="1">
        <v>7311500</v>
      </c>
      <c r="F62" s="1">
        <v>11243600</v>
      </c>
      <c r="G62" s="1">
        <v>7808200</v>
      </c>
    </row>
    <row r="63" spans="3:7" ht="15.75" customHeight="1" x14ac:dyDescent="0.25">
      <c r="C63" s="1">
        <v>3171913300</v>
      </c>
      <c r="D63" s="1">
        <v>3273408900</v>
      </c>
      <c r="E63" s="1">
        <v>3196386100</v>
      </c>
      <c r="F63" s="1">
        <v>3256364800</v>
      </c>
      <c r="G63" s="1">
        <v>3170991800</v>
      </c>
    </row>
    <row r="64" spans="3:7" ht="15.75" customHeight="1" x14ac:dyDescent="0.25">
      <c r="C64" s="1">
        <v>1744700</v>
      </c>
      <c r="D64" s="1">
        <v>1294600</v>
      </c>
      <c r="E64" s="1">
        <v>1253400</v>
      </c>
      <c r="F64" s="1">
        <v>1282200</v>
      </c>
      <c r="G64" s="1">
        <v>1259200</v>
      </c>
    </row>
    <row r="65" spans="3:7" ht="15.75" customHeight="1" x14ac:dyDescent="0.25">
      <c r="C65" s="1">
        <v>4870800</v>
      </c>
      <c r="D65" s="1">
        <v>4560400</v>
      </c>
      <c r="E65" s="1">
        <v>4553600</v>
      </c>
      <c r="F65" s="1">
        <v>4619000</v>
      </c>
      <c r="G65" s="1">
        <v>4596900</v>
      </c>
    </row>
    <row r="66" spans="3:7" ht="15.75" customHeight="1" x14ac:dyDescent="0.25">
      <c r="C66" s="1">
        <v>5428100</v>
      </c>
      <c r="D66" s="1">
        <v>5941300</v>
      </c>
      <c r="E66" s="1">
        <v>4860400</v>
      </c>
      <c r="F66" s="1">
        <v>4922400</v>
      </c>
      <c r="G66" s="1">
        <v>4778800</v>
      </c>
    </row>
    <row r="67" spans="3:7" ht="15.75" customHeight="1" x14ac:dyDescent="0.25">
      <c r="C67" s="1">
        <v>3054730000</v>
      </c>
      <c r="D67" s="1">
        <v>2998137100</v>
      </c>
      <c r="E67" s="1">
        <v>3008030800</v>
      </c>
      <c r="F67" s="1">
        <v>2961089500</v>
      </c>
      <c r="G67" s="1">
        <v>3017060200</v>
      </c>
    </row>
    <row r="68" spans="3:7" ht="15.75" customHeight="1" x14ac:dyDescent="0.25"/>
    <row r="69" spans="3:7" ht="15.75" customHeight="1" x14ac:dyDescent="0.25"/>
    <row r="70" spans="3:7" ht="15.75" customHeight="1" x14ac:dyDescent="0.25"/>
    <row r="71" spans="3:7" ht="15.75" customHeight="1" x14ac:dyDescent="0.25"/>
    <row r="72" spans="3:7" ht="15.75" customHeight="1" x14ac:dyDescent="0.25"/>
    <row r="73" spans="3:7" ht="15.75" customHeight="1" x14ac:dyDescent="0.25"/>
    <row r="74" spans="3:7" ht="15.75" customHeight="1" x14ac:dyDescent="0.25"/>
    <row r="75" spans="3:7" ht="15.75" customHeight="1" x14ac:dyDescent="0.25"/>
    <row r="76" spans="3:7" ht="15.75" customHeight="1" x14ac:dyDescent="0.25"/>
    <row r="77" spans="3:7" ht="15.75" customHeight="1" x14ac:dyDescent="0.25"/>
    <row r="78" spans="3:7" ht="15.75" customHeight="1" x14ac:dyDescent="0.25"/>
    <row r="79" spans="3:7" ht="15.75" customHeight="1" x14ac:dyDescent="0.25"/>
    <row r="80" spans="3:7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F15:G15"/>
    <mergeCell ref="H15:X15"/>
    <mergeCell ref="D16:J16"/>
    <mergeCell ref="K16:Q16"/>
    <mergeCell ref="R16:X16"/>
    <mergeCell ref="D15:E15"/>
    <mergeCell ref="D3:E3"/>
    <mergeCell ref="F3:G3"/>
    <mergeCell ref="H3:U3"/>
    <mergeCell ref="D4:I4"/>
    <mergeCell ref="J4:O4"/>
    <mergeCell ref="P4:U4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X1000"/>
  <sheetViews>
    <sheetView zoomScale="85" zoomScaleNormal="85" workbookViewId="0">
      <selection activeCell="P28" sqref="P28"/>
    </sheetView>
  </sheetViews>
  <sheetFormatPr defaultColWidth="14.42578125" defaultRowHeight="15" customHeight="1" x14ac:dyDescent="0.25"/>
  <cols>
    <col min="1" max="1" width="1.140625" customWidth="1"/>
    <col min="2" max="2" width="36.85546875" customWidth="1"/>
    <col min="3" max="3" width="12.42578125" customWidth="1"/>
    <col min="4" max="24" width="10.28515625" customWidth="1"/>
    <col min="25" max="26" width="8.7109375" customWidth="1"/>
  </cols>
  <sheetData>
    <row r="3" spans="2:24" ht="27" customHeight="1" x14ac:dyDescent="0.4">
      <c r="D3" s="87" t="s">
        <v>14</v>
      </c>
      <c r="E3" s="88"/>
      <c r="F3" s="89">
        <v>10000</v>
      </c>
      <c r="G3" s="88"/>
      <c r="H3" s="89" t="s">
        <v>31</v>
      </c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90"/>
    </row>
    <row r="4" spans="2:24" ht="24.75" customHeight="1" x14ac:dyDescent="0.35">
      <c r="D4" s="91" t="s">
        <v>4</v>
      </c>
      <c r="E4" s="88"/>
      <c r="F4" s="88"/>
      <c r="G4" s="88"/>
      <c r="H4" s="88"/>
      <c r="I4" s="90"/>
      <c r="J4" s="91" t="s">
        <v>5</v>
      </c>
      <c r="K4" s="88"/>
      <c r="L4" s="88"/>
      <c r="M4" s="88"/>
      <c r="N4" s="88"/>
      <c r="O4" s="90"/>
      <c r="P4" s="91" t="s">
        <v>16</v>
      </c>
      <c r="Q4" s="88"/>
      <c r="R4" s="88"/>
      <c r="S4" s="88"/>
      <c r="T4" s="88"/>
      <c r="U4" s="90"/>
    </row>
    <row r="5" spans="2:24" ht="35.25" customHeight="1" x14ac:dyDescent="0.25">
      <c r="B5" s="53" t="s">
        <v>17</v>
      </c>
      <c r="C5" s="54" t="s">
        <v>18</v>
      </c>
      <c r="D5" s="55">
        <v>1</v>
      </c>
      <c r="E5" s="56">
        <v>2</v>
      </c>
      <c r="F5" s="56">
        <v>3</v>
      </c>
      <c r="G5" s="56">
        <v>4</v>
      </c>
      <c r="H5" s="56">
        <v>5</v>
      </c>
      <c r="I5" s="57" t="s">
        <v>19</v>
      </c>
      <c r="J5" s="55">
        <v>1</v>
      </c>
      <c r="K5" s="56">
        <v>2</v>
      </c>
      <c r="L5" s="56">
        <v>3</v>
      </c>
      <c r="M5" s="56">
        <v>4</v>
      </c>
      <c r="N5" s="56">
        <v>5</v>
      </c>
      <c r="O5" s="57" t="s">
        <v>19</v>
      </c>
      <c r="P5" s="55">
        <v>1</v>
      </c>
      <c r="Q5" s="56">
        <v>2</v>
      </c>
      <c r="R5" s="56">
        <v>3</v>
      </c>
      <c r="S5" s="56">
        <v>4</v>
      </c>
      <c r="T5" s="56">
        <v>5</v>
      </c>
      <c r="U5" s="57" t="s">
        <v>19</v>
      </c>
    </row>
    <row r="6" spans="2:24" ht="21" x14ac:dyDescent="0.35">
      <c r="B6" s="58" t="s">
        <v>20</v>
      </c>
      <c r="C6" s="59" t="s">
        <v>21</v>
      </c>
      <c r="D6" s="60">
        <v>18</v>
      </c>
      <c r="E6" s="14">
        <v>16</v>
      </c>
      <c r="F6" s="14">
        <v>16.04</v>
      </c>
      <c r="G6" s="14">
        <v>23</v>
      </c>
      <c r="H6" s="14">
        <v>24</v>
      </c>
      <c r="I6" s="46">
        <f t="shared" ref="I6:I11" si="0">AVERAGE(D6:H6)</f>
        <v>19.407999999999998</v>
      </c>
      <c r="J6" s="60">
        <v>349370</v>
      </c>
      <c r="K6" s="14">
        <v>309504</v>
      </c>
      <c r="L6" s="14">
        <v>289565</v>
      </c>
      <c r="M6" s="14">
        <v>439010</v>
      </c>
      <c r="N6" s="14">
        <v>458919</v>
      </c>
      <c r="O6" s="46">
        <f t="shared" ref="O6:O12" si="1">AVERAGE(J6:N6)</f>
        <v>369273.59999999998</v>
      </c>
      <c r="P6" s="60">
        <v>53373</v>
      </c>
      <c r="Q6" s="14">
        <v>54981</v>
      </c>
      <c r="R6" s="14">
        <v>54264</v>
      </c>
      <c r="S6" s="14">
        <v>53487</v>
      </c>
      <c r="T6" s="14">
        <v>53877</v>
      </c>
      <c r="U6" s="46">
        <f t="shared" ref="U6:U13" si="2">AVERAGE(P6:T6)</f>
        <v>53996.4</v>
      </c>
    </row>
    <row r="7" spans="2:24" ht="21" x14ac:dyDescent="0.35">
      <c r="B7" s="61" t="s">
        <v>22</v>
      </c>
      <c r="C7" s="62" t="s">
        <v>21</v>
      </c>
      <c r="D7" s="22">
        <v>1858.33</v>
      </c>
      <c r="E7" s="42">
        <v>1878.39</v>
      </c>
      <c r="F7" s="42">
        <v>1861.58</v>
      </c>
      <c r="G7" s="42">
        <v>1879.26</v>
      </c>
      <c r="H7" s="42">
        <v>1885.57</v>
      </c>
      <c r="I7" s="46">
        <f t="shared" si="0"/>
        <v>1872.6260000000002</v>
      </c>
      <c r="J7" s="22">
        <v>49995000</v>
      </c>
      <c r="K7" s="42">
        <v>49995000</v>
      </c>
      <c r="L7" s="42">
        <v>49995000</v>
      </c>
      <c r="M7" s="42">
        <v>49995000</v>
      </c>
      <c r="N7" s="42">
        <v>49995000</v>
      </c>
      <c r="O7" s="46">
        <f t="shared" si="1"/>
        <v>49995000</v>
      </c>
      <c r="P7" s="22">
        <v>29997</v>
      </c>
      <c r="Q7" s="42">
        <v>29997</v>
      </c>
      <c r="R7" s="42">
        <v>29997</v>
      </c>
      <c r="S7" s="42">
        <v>29997</v>
      </c>
      <c r="T7" s="42">
        <v>29997</v>
      </c>
      <c r="U7" s="46">
        <f t="shared" si="2"/>
        <v>29997</v>
      </c>
    </row>
    <row r="8" spans="2:24" ht="21" x14ac:dyDescent="0.35">
      <c r="B8" s="61" t="s">
        <v>23</v>
      </c>
      <c r="C8" s="62" t="s">
        <v>21</v>
      </c>
      <c r="D8" s="22">
        <v>3</v>
      </c>
      <c r="E8" s="22">
        <v>3</v>
      </c>
      <c r="F8" s="22">
        <v>3</v>
      </c>
      <c r="G8" s="22">
        <v>3</v>
      </c>
      <c r="H8" s="22">
        <v>3</v>
      </c>
      <c r="I8" s="46">
        <f t="shared" si="0"/>
        <v>3</v>
      </c>
      <c r="J8" s="22">
        <v>26638</v>
      </c>
      <c r="K8" s="22">
        <v>28276</v>
      </c>
      <c r="L8" s="22">
        <v>28000</v>
      </c>
      <c r="M8" s="22">
        <v>27260</v>
      </c>
      <c r="N8" s="22">
        <v>27082</v>
      </c>
      <c r="O8" s="46">
        <f t="shared" si="1"/>
        <v>27451.200000000001</v>
      </c>
      <c r="P8" s="22">
        <v>59919</v>
      </c>
      <c r="Q8" s="22">
        <v>64833</v>
      </c>
      <c r="R8" s="22">
        <v>64005</v>
      </c>
      <c r="S8" s="22">
        <v>61785</v>
      </c>
      <c r="T8" s="22">
        <v>61251</v>
      </c>
      <c r="U8" s="46">
        <f t="shared" si="2"/>
        <v>62358.6</v>
      </c>
    </row>
    <row r="9" spans="2:24" ht="21" x14ac:dyDescent="0.35">
      <c r="B9" s="61" t="s">
        <v>24</v>
      </c>
      <c r="C9" s="62" t="s">
        <v>21</v>
      </c>
      <c r="D9" s="22">
        <v>10.54</v>
      </c>
      <c r="E9" s="22">
        <v>10.78</v>
      </c>
      <c r="F9" s="22">
        <v>11.51</v>
      </c>
      <c r="G9" s="22">
        <v>11</v>
      </c>
      <c r="H9" s="22">
        <v>11</v>
      </c>
      <c r="I9" s="46">
        <f t="shared" si="0"/>
        <v>10.965999999999999</v>
      </c>
      <c r="J9" s="22">
        <v>116428</v>
      </c>
      <c r="K9" s="22">
        <v>116374</v>
      </c>
      <c r="L9" s="22">
        <v>116352</v>
      </c>
      <c r="M9" s="22">
        <v>116425</v>
      </c>
      <c r="N9" s="22">
        <v>116386</v>
      </c>
      <c r="O9" s="46">
        <f t="shared" si="1"/>
        <v>116393</v>
      </c>
      <c r="P9" s="22">
        <v>38581</v>
      </c>
      <c r="Q9" s="22">
        <v>37311</v>
      </c>
      <c r="R9" s="22">
        <v>37530</v>
      </c>
      <c r="S9" s="22">
        <v>37448</v>
      </c>
      <c r="T9" s="22">
        <v>38772</v>
      </c>
      <c r="U9" s="46">
        <f t="shared" si="2"/>
        <v>37928.400000000001</v>
      </c>
    </row>
    <row r="10" spans="2:24" ht="21" x14ac:dyDescent="0.35">
      <c r="B10" s="61" t="s">
        <v>25</v>
      </c>
      <c r="C10" s="62" t="s">
        <v>26</v>
      </c>
      <c r="D10" s="22">
        <v>1616.77</v>
      </c>
      <c r="E10" s="22">
        <v>1643.03</v>
      </c>
      <c r="F10" s="22">
        <v>1582.5</v>
      </c>
      <c r="G10" s="22">
        <v>1582.14</v>
      </c>
      <c r="H10" s="22">
        <v>1574.6</v>
      </c>
      <c r="I10" s="46">
        <f t="shared" si="0"/>
        <v>1599.8080000000002</v>
      </c>
      <c r="J10" s="22">
        <v>15678166</v>
      </c>
      <c r="K10" s="22">
        <v>15699912</v>
      </c>
      <c r="L10" s="22">
        <v>15497300</v>
      </c>
      <c r="M10" s="22">
        <v>15497300</v>
      </c>
      <c r="N10" s="22">
        <v>15356598</v>
      </c>
      <c r="O10" s="46">
        <f t="shared" si="1"/>
        <v>15545855.199999999</v>
      </c>
      <c r="P10" s="22">
        <v>47015955</v>
      </c>
      <c r="Q10" s="22">
        <v>47080983</v>
      </c>
      <c r="R10" s="22">
        <v>46474275</v>
      </c>
      <c r="S10" s="22">
        <v>46355898</v>
      </c>
      <c r="T10" s="22">
        <v>46050735</v>
      </c>
      <c r="U10" s="46">
        <f t="shared" si="2"/>
        <v>46595569.200000003</v>
      </c>
    </row>
    <row r="11" spans="2:24" ht="21" x14ac:dyDescent="0.35">
      <c r="B11" s="63" t="s">
        <v>27</v>
      </c>
      <c r="C11" s="62" t="s">
        <v>26</v>
      </c>
      <c r="D11" s="42">
        <v>16</v>
      </c>
      <c r="E11" s="42">
        <v>16</v>
      </c>
      <c r="F11" s="42">
        <v>17.05</v>
      </c>
      <c r="G11" s="42">
        <v>17</v>
      </c>
      <c r="H11" s="42">
        <v>16</v>
      </c>
      <c r="I11" s="46">
        <f t="shared" si="0"/>
        <v>16.41</v>
      </c>
      <c r="J11" s="42">
        <v>73575</v>
      </c>
      <c r="K11" s="42">
        <v>73223</v>
      </c>
      <c r="L11" s="42">
        <v>73478</v>
      </c>
      <c r="M11" s="42">
        <v>73423</v>
      </c>
      <c r="N11" s="42">
        <v>73302</v>
      </c>
      <c r="O11" s="46">
        <f>AVERAGE(J11:N11)</f>
        <v>73400.2</v>
      </c>
      <c r="P11" s="42">
        <v>133616</v>
      </c>
      <c r="Q11" s="42">
        <v>133616</v>
      </c>
      <c r="R11" s="42">
        <v>133616</v>
      </c>
      <c r="S11" s="42">
        <v>133616</v>
      </c>
      <c r="T11" s="42">
        <v>133616</v>
      </c>
      <c r="U11" s="46">
        <f t="shared" si="2"/>
        <v>133616</v>
      </c>
    </row>
    <row r="12" spans="2:24" ht="21.75" thickBot="1" x14ac:dyDescent="0.4">
      <c r="B12" s="64" t="s">
        <v>28</v>
      </c>
      <c r="C12" s="62" t="s">
        <v>29</v>
      </c>
      <c r="D12" s="65">
        <v>8</v>
      </c>
      <c r="E12" s="65">
        <v>7</v>
      </c>
      <c r="F12" s="65">
        <v>7</v>
      </c>
      <c r="G12" s="65">
        <v>7</v>
      </c>
      <c r="H12" s="65">
        <v>8</v>
      </c>
      <c r="I12" s="46">
        <f>AVERAGE(D12:H12)</f>
        <v>7.4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46">
        <f t="shared" si="1"/>
        <v>0</v>
      </c>
      <c r="P12" s="65">
        <v>50000</v>
      </c>
      <c r="Q12" s="65">
        <v>50000</v>
      </c>
      <c r="R12" s="65">
        <v>50000</v>
      </c>
      <c r="S12" s="65">
        <v>50000</v>
      </c>
      <c r="T12" s="65">
        <v>50000</v>
      </c>
      <c r="U12" s="46">
        <f t="shared" si="2"/>
        <v>50000</v>
      </c>
    </row>
    <row r="13" spans="2:24" ht="15" customHeight="1" x14ac:dyDescent="0.35">
      <c r="B13" s="85" t="s">
        <v>46</v>
      </c>
      <c r="C13" t="s">
        <v>48</v>
      </c>
      <c r="D13">
        <v>826.11</v>
      </c>
      <c r="E13" s="77" t="s">
        <v>47</v>
      </c>
      <c r="F13" s="77">
        <v>818.63</v>
      </c>
      <c r="G13">
        <v>827.23</v>
      </c>
      <c r="H13">
        <v>803.87</v>
      </c>
      <c r="I13" s="86">
        <f>AVERAGE(D13:H13)</f>
        <v>818.96</v>
      </c>
      <c r="J13">
        <v>18909300</v>
      </c>
      <c r="K13">
        <v>18761833</v>
      </c>
      <c r="L13">
        <v>18532127</v>
      </c>
      <c r="M13">
        <v>18552753</v>
      </c>
      <c r="N13">
        <v>17871454</v>
      </c>
      <c r="O13" s="86">
        <f>AVERAGE(J13:N13)</f>
        <v>18525493.399999999</v>
      </c>
      <c r="P13" s="33">
        <v>10000</v>
      </c>
      <c r="Q13" s="33">
        <v>10000</v>
      </c>
      <c r="R13" s="33">
        <v>10000</v>
      </c>
      <c r="S13" s="33">
        <v>10000</v>
      </c>
      <c r="T13" s="33">
        <v>10000</v>
      </c>
      <c r="U13" s="86">
        <f t="shared" si="2"/>
        <v>10000</v>
      </c>
    </row>
    <row r="14" spans="2:24" ht="15" customHeight="1" thickBot="1" x14ac:dyDescent="0.3"/>
    <row r="15" spans="2:24" ht="26.25" x14ac:dyDescent="0.4">
      <c r="D15" s="87" t="s">
        <v>14</v>
      </c>
      <c r="E15" s="88"/>
      <c r="F15" s="89">
        <v>20000</v>
      </c>
      <c r="G15" s="88"/>
      <c r="H15" s="89" t="s">
        <v>31</v>
      </c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90"/>
    </row>
    <row r="16" spans="2:24" ht="23.25" x14ac:dyDescent="0.35">
      <c r="D16" s="91" t="s">
        <v>4</v>
      </c>
      <c r="E16" s="88"/>
      <c r="F16" s="88"/>
      <c r="G16" s="88"/>
      <c r="H16" s="88"/>
      <c r="I16" s="88"/>
      <c r="J16" s="90"/>
      <c r="K16" s="91" t="s">
        <v>5</v>
      </c>
      <c r="L16" s="88"/>
      <c r="M16" s="88"/>
      <c r="N16" s="88"/>
      <c r="O16" s="88"/>
      <c r="P16" s="88"/>
      <c r="Q16" s="90"/>
      <c r="R16" s="91" t="s">
        <v>16</v>
      </c>
      <c r="S16" s="88"/>
      <c r="T16" s="88"/>
      <c r="U16" s="88"/>
      <c r="V16" s="88"/>
      <c r="W16" s="88"/>
      <c r="X16" s="90"/>
    </row>
    <row r="17" spans="2:24" ht="31.5" x14ac:dyDescent="0.25">
      <c r="B17" s="53" t="s">
        <v>17</v>
      </c>
      <c r="C17" s="54" t="s">
        <v>18</v>
      </c>
      <c r="D17" s="66" t="s">
        <v>30</v>
      </c>
      <c r="E17" s="67">
        <v>1</v>
      </c>
      <c r="F17" s="67">
        <v>2</v>
      </c>
      <c r="G17" s="67">
        <v>3</v>
      </c>
      <c r="H17" s="67">
        <v>4</v>
      </c>
      <c r="I17" s="67">
        <v>5</v>
      </c>
      <c r="J17" s="68" t="s">
        <v>19</v>
      </c>
      <c r="K17" s="66" t="s">
        <v>30</v>
      </c>
      <c r="L17" s="67">
        <v>1</v>
      </c>
      <c r="M17" s="67">
        <v>2</v>
      </c>
      <c r="N17" s="67">
        <v>3</v>
      </c>
      <c r="O17" s="67">
        <v>4</v>
      </c>
      <c r="P17" s="67">
        <v>5</v>
      </c>
      <c r="Q17" s="68" t="s">
        <v>19</v>
      </c>
      <c r="R17" s="66" t="s">
        <v>30</v>
      </c>
      <c r="S17" s="67">
        <v>1</v>
      </c>
      <c r="T17" s="67">
        <v>2</v>
      </c>
      <c r="U17" s="67">
        <v>3</v>
      </c>
      <c r="V17" s="67">
        <v>4</v>
      </c>
      <c r="W17" s="67">
        <v>5</v>
      </c>
      <c r="X17" s="68" t="s">
        <v>19</v>
      </c>
    </row>
    <row r="18" spans="2:24" ht="21" x14ac:dyDescent="0.35">
      <c r="B18" s="58" t="s">
        <v>20</v>
      </c>
      <c r="C18" s="59" t="s">
        <v>21</v>
      </c>
      <c r="D18" s="69">
        <f>I6*(F15/F3)^2</f>
        <v>77.631999999999991</v>
      </c>
      <c r="E18" s="11">
        <v>51.51</v>
      </c>
      <c r="F18" s="11">
        <v>34</v>
      </c>
      <c r="G18" s="11">
        <v>32</v>
      </c>
      <c r="H18" s="11">
        <v>57.51</v>
      </c>
      <c r="I18" s="11">
        <v>42</v>
      </c>
      <c r="J18" s="70">
        <f t="shared" ref="J18:J25" si="3">AVERAGE(E18:I18)</f>
        <v>43.403999999999996</v>
      </c>
      <c r="K18" s="71">
        <f>O6*(F15/F3)^2</f>
        <v>1477094.3999999999</v>
      </c>
      <c r="L18" s="11">
        <v>958824</v>
      </c>
      <c r="M18" s="11">
        <v>659439</v>
      </c>
      <c r="N18" s="11">
        <v>579565</v>
      </c>
      <c r="O18" s="11">
        <v>1118404</v>
      </c>
      <c r="P18" s="11">
        <v>779220</v>
      </c>
      <c r="Q18" s="70">
        <f t="shared" ref="Q18:Q23" si="4">AVERAGE(L18:P18)</f>
        <v>819090.4</v>
      </c>
      <c r="R18" s="71">
        <f>U6*(F15/F3)^2</f>
        <v>215985.6</v>
      </c>
      <c r="S18" s="11">
        <v>113097</v>
      </c>
      <c r="T18" s="11">
        <v>108627</v>
      </c>
      <c r="U18" s="11">
        <v>105348</v>
      </c>
      <c r="V18" s="11">
        <v>112191</v>
      </c>
      <c r="W18" s="11">
        <v>113376</v>
      </c>
      <c r="X18" s="70">
        <f t="shared" ref="X18:X24" si="5">AVERAGE(S18:W18)</f>
        <v>110527.8</v>
      </c>
    </row>
    <row r="19" spans="2:24" ht="21" x14ac:dyDescent="0.35">
      <c r="B19" s="61" t="s">
        <v>22</v>
      </c>
      <c r="C19" s="62" t="s">
        <v>21</v>
      </c>
      <c r="D19" s="72">
        <f>I7*(F15/F3)^2</f>
        <v>7490.5040000000008</v>
      </c>
      <c r="E19" s="19">
        <v>7426.96</v>
      </c>
      <c r="F19" s="19">
        <v>7381.09</v>
      </c>
      <c r="G19" s="19">
        <v>7546.04</v>
      </c>
      <c r="H19" s="19">
        <v>7334.82</v>
      </c>
      <c r="I19" s="19">
        <v>7417.15</v>
      </c>
      <c r="J19" s="70">
        <f t="shared" si="3"/>
        <v>7421.2119999999995</v>
      </c>
      <c r="K19" s="32">
        <f>O7*(F15/F3)^2</f>
        <v>199980000</v>
      </c>
      <c r="L19" s="19">
        <v>199990000</v>
      </c>
      <c r="M19" s="19">
        <v>199990000</v>
      </c>
      <c r="N19" s="19">
        <v>199990000</v>
      </c>
      <c r="O19" s="19">
        <v>199990000</v>
      </c>
      <c r="P19" s="19">
        <v>199990000</v>
      </c>
      <c r="Q19" s="70">
        <f t="shared" si="4"/>
        <v>199990000</v>
      </c>
      <c r="R19" s="32">
        <f>U7*(F15/F3)</f>
        <v>59994</v>
      </c>
      <c r="S19" s="19">
        <v>59997</v>
      </c>
      <c r="T19" s="19">
        <v>59997</v>
      </c>
      <c r="U19" s="19">
        <v>59997</v>
      </c>
      <c r="V19" s="19">
        <v>59997</v>
      </c>
      <c r="W19" s="19">
        <v>59997</v>
      </c>
      <c r="X19" s="70">
        <f t="shared" si="5"/>
        <v>59997</v>
      </c>
    </row>
    <row r="20" spans="2:24" ht="21" x14ac:dyDescent="0.35">
      <c r="B20" s="61" t="s">
        <v>23</v>
      </c>
      <c r="C20" s="62" t="s">
        <v>21</v>
      </c>
      <c r="D20" s="72">
        <f>I8*(F15/F3)^2</f>
        <v>12</v>
      </c>
      <c r="E20" s="19">
        <v>5</v>
      </c>
      <c r="F20" s="19">
        <v>5</v>
      </c>
      <c r="G20" s="19">
        <v>5</v>
      </c>
      <c r="H20" s="19">
        <v>5</v>
      </c>
      <c r="I20" s="19">
        <v>5</v>
      </c>
      <c r="J20" s="70">
        <f t="shared" si="3"/>
        <v>5</v>
      </c>
      <c r="K20" s="32">
        <f>O8*(F15/F3)^2</f>
        <v>109804.8</v>
      </c>
      <c r="L20" s="19">
        <v>54922</v>
      </c>
      <c r="M20" s="19">
        <v>56405</v>
      </c>
      <c r="N20" s="19">
        <v>57055</v>
      </c>
      <c r="O20" s="19">
        <v>55625</v>
      </c>
      <c r="P20" s="19">
        <v>58201</v>
      </c>
      <c r="Q20" s="70">
        <f t="shared" si="4"/>
        <v>56441.599999999999</v>
      </c>
      <c r="R20" s="32">
        <f>U8*(F15/F3)^2</f>
        <v>249434.4</v>
      </c>
      <c r="S20" s="19">
        <v>124771</v>
      </c>
      <c r="T20" s="19">
        <v>129220</v>
      </c>
      <c r="U20" s="19">
        <v>131179</v>
      </c>
      <c r="V20" s="19">
        <v>126880</v>
      </c>
      <c r="W20" s="19">
        <v>134608</v>
      </c>
      <c r="X20" s="70">
        <f t="shared" si="5"/>
        <v>129331.6</v>
      </c>
    </row>
    <row r="21" spans="2:24" ht="15.75" customHeight="1" x14ac:dyDescent="0.35">
      <c r="B21" s="61" t="s">
        <v>24</v>
      </c>
      <c r="C21" s="62" t="s">
        <v>21</v>
      </c>
      <c r="D21" s="72">
        <f>I9*(F15/F3)^2</f>
        <v>43.863999999999997</v>
      </c>
      <c r="E21" s="19">
        <v>21</v>
      </c>
      <c r="F21" s="19">
        <v>21</v>
      </c>
      <c r="G21" s="19">
        <v>22</v>
      </c>
      <c r="H21" s="19">
        <v>21</v>
      </c>
      <c r="I21" s="19">
        <v>21.51</v>
      </c>
      <c r="J21" s="70">
        <f t="shared" si="3"/>
        <v>21.302</v>
      </c>
      <c r="K21" s="32">
        <f>O9*(F15/F3)^2</f>
        <v>465572</v>
      </c>
      <c r="L21" s="19">
        <v>252694</v>
      </c>
      <c r="M21" s="19">
        <v>252777</v>
      </c>
      <c r="N21" s="19">
        <v>252770</v>
      </c>
      <c r="O21" s="19">
        <v>252849</v>
      </c>
      <c r="P21" s="19">
        <v>252724</v>
      </c>
      <c r="Q21" s="70">
        <f t="shared" si="4"/>
        <v>252762.8</v>
      </c>
      <c r="R21" s="32">
        <f>U9*(F15/F3)^2</f>
        <v>151713.60000000001</v>
      </c>
      <c r="S21" s="19">
        <v>73065</v>
      </c>
      <c r="T21" s="19">
        <v>76550</v>
      </c>
      <c r="U21" s="19">
        <v>75399</v>
      </c>
      <c r="V21" s="19">
        <v>76245</v>
      </c>
      <c r="W21" s="19">
        <v>76421</v>
      </c>
      <c r="X21" s="70">
        <f t="shared" si="5"/>
        <v>75536</v>
      </c>
    </row>
    <row r="22" spans="2:24" ht="15.75" customHeight="1" x14ac:dyDescent="0.35">
      <c r="B22" s="61" t="s">
        <v>25</v>
      </c>
      <c r="C22" s="62" t="s">
        <v>26</v>
      </c>
      <c r="D22" s="72">
        <f>I10*(F15*LOG(F15,2))/(F3*LOG(F3,2))</f>
        <v>3440.4110976516017</v>
      </c>
      <c r="E22" s="19">
        <v>6325.98</v>
      </c>
      <c r="F22" s="19">
        <v>6521.75</v>
      </c>
      <c r="G22" s="19">
        <v>6275.84</v>
      </c>
      <c r="H22" s="19">
        <v>6312.22</v>
      </c>
      <c r="I22" s="19">
        <v>6355.94</v>
      </c>
      <c r="J22" s="70">
        <f t="shared" si="3"/>
        <v>6358.3459999999995</v>
      </c>
      <c r="K22" s="32">
        <f>O10*(F15*LOG(F15,2))/(F3*LOG(F3,2))</f>
        <v>33431594.761724442</v>
      </c>
      <c r="L22" s="19">
        <v>62961333</v>
      </c>
      <c r="M22" s="19">
        <v>63754833</v>
      </c>
      <c r="N22" s="19">
        <v>62566931</v>
      </c>
      <c r="O22" s="19">
        <v>62819642</v>
      </c>
      <c r="P22" s="19">
        <v>63319623</v>
      </c>
      <c r="Q22" s="70">
        <f t="shared" si="4"/>
        <v>63084472.399999999</v>
      </c>
      <c r="R22" s="32">
        <f>U10*(F15*LOG(F15,2))/(F3*LOG(F3,2))</f>
        <v>100204470.39711837</v>
      </c>
      <c r="S22" s="19">
        <v>188846277</v>
      </c>
      <c r="T22" s="19">
        <v>191226933</v>
      </c>
      <c r="U22" s="19">
        <v>187662669</v>
      </c>
      <c r="V22" s="19">
        <v>188421459</v>
      </c>
      <c r="W22" s="19">
        <v>189921054</v>
      </c>
      <c r="X22" s="70">
        <f t="shared" si="5"/>
        <v>189215678.40000001</v>
      </c>
    </row>
    <row r="23" spans="2:24" ht="15.75" customHeight="1" x14ac:dyDescent="0.35">
      <c r="B23" s="63" t="s">
        <v>27</v>
      </c>
      <c r="C23" s="62" t="s">
        <v>26</v>
      </c>
      <c r="D23" s="73">
        <f>I11*(F15*LOG(F15,2))/(F3*LOG(F3,2))</f>
        <v>35.289951114422962</v>
      </c>
      <c r="E23" s="36">
        <v>34</v>
      </c>
      <c r="F23" s="36">
        <v>34</v>
      </c>
      <c r="G23" s="36">
        <v>35</v>
      </c>
      <c r="H23" s="36">
        <v>33</v>
      </c>
      <c r="I23" s="36">
        <v>33.51</v>
      </c>
      <c r="J23" s="70">
        <f t="shared" si="3"/>
        <v>33.902000000000001</v>
      </c>
      <c r="K23" s="74">
        <f>O11*(F15*LOG(F15,2))/(F3*LOG(F3,2))</f>
        <v>157848.23094386767</v>
      </c>
      <c r="L23" s="36">
        <v>157481</v>
      </c>
      <c r="M23" s="36">
        <v>157304</v>
      </c>
      <c r="N23" s="36">
        <v>157442</v>
      </c>
      <c r="O23" s="36">
        <v>156988</v>
      </c>
      <c r="P23" s="36">
        <v>157181</v>
      </c>
      <c r="Q23" s="70">
        <f t="shared" si="4"/>
        <v>157279.20000000001</v>
      </c>
      <c r="R23" s="74">
        <f>U11*(F15*LOG(F15,2))/(F3*LOG(F3,2))</f>
        <v>287343.21195031924</v>
      </c>
      <c r="S23" s="36">
        <v>287232</v>
      </c>
      <c r="T23" s="36">
        <v>287232</v>
      </c>
      <c r="U23" s="36">
        <v>287232</v>
      </c>
      <c r="V23" s="36">
        <v>287232</v>
      </c>
      <c r="W23" s="36">
        <v>287232</v>
      </c>
      <c r="X23" s="70">
        <f t="shared" si="5"/>
        <v>287232</v>
      </c>
    </row>
    <row r="24" spans="2:24" ht="15.75" customHeight="1" thickBot="1" x14ac:dyDescent="0.4">
      <c r="B24" s="64" t="s">
        <v>28</v>
      </c>
      <c r="C24" s="62" t="s">
        <v>29</v>
      </c>
      <c r="D24" s="75">
        <f>I12*(F15/F3)</f>
        <v>14.8</v>
      </c>
      <c r="E24" s="39">
        <v>16</v>
      </c>
      <c r="F24" s="39">
        <v>15</v>
      </c>
      <c r="G24" s="39">
        <v>16.059999999999999</v>
      </c>
      <c r="H24" s="39">
        <v>18.510000000000002</v>
      </c>
      <c r="I24" s="39">
        <v>14</v>
      </c>
      <c r="J24" s="70">
        <f t="shared" si="3"/>
        <v>15.914000000000001</v>
      </c>
      <c r="K24" s="51">
        <f>O12*(F15/F3)</f>
        <v>0</v>
      </c>
      <c r="L24" s="39">
        <v>0</v>
      </c>
      <c r="M24" s="39">
        <v>0</v>
      </c>
      <c r="N24" s="39">
        <v>0</v>
      </c>
      <c r="O24" s="39">
        <v>0</v>
      </c>
      <c r="P24" s="39">
        <v>0</v>
      </c>
      <c r="Q24" s="70">
        <f>AVERAGE(L24:P24)</f>
        <v>0</v>
      </c>
      <c r="R24" s="51">
        <f>U12*(F15/F3)</f>
        <v>100000</v>
      </c>
      <c r="S24" s="39">
        <v>100000</v>
      </c>
      <c r="T24" s="39">
        <v>100000</v>
      </c>
      <c r="U24" s="39">
        <v>100000</v>
      </c>
      <c r="V24" s="39">
        <v>100000</v>
      </c>
      <c r="W24" s="39">
        <v>100000</v>
      </c>
      <c r="X24" s="70">
        <f t="shared" si="5"/>
        <v>100000</v>
      </c>
    </row>
    <row r="25" spans="2:24" ht="15.75" customHeight="1" x14ac:dyDescent="0.35">
      <c r="B25" s="85" t="s">
        <v>46</v>
      </c>
      <c r="C25" t="s">
        <v>48</v>
      </c>
      <c r="D25">
        <f>I13*(F15/F3)</f>
        <v>1637.92</v>
      </c>
      <c r="E25" s="29">
        <v>3596.86</v>
      </c>
      <c r="F25" s="29">
        <v>3649.38</v>
      </c>
      <c r="G25" s="29">
        <v>3755.36</v>
      </c>
      <c r="H25" s="29">
        <v>3787.48</v>
      </c>
      <c r="I25" s="29">
        <v>3711.42</v>
      </c>
      <c r="J25" s="86">
        <f t="shared" si="3"/>
        <v>3700.1</v>
      </c>
      <c r="K25">
        <f>ROUND(O13*F15*LOG(F15) / (F3*LOG(F3)),0)</f>
        <v>39839351</v>
      </c>
      <c r="L25" s="29">
        <v>73304137</v>
      </c>
      <c r="M25" s="29">
        <v>73380969</v>
      </c>
      <c r="N25" s="29">
        <v>73397272</v>
      </c>
      <c r="O25" s="29">
        <v>73506057</v>
      </c>
      <c r="P25" s="29">
        <v>73147649</v>
      </c>
      <c r="Q25" s="86">
        <f>AVERAGE(L25:P25)</f>
        <v>73347216.799999997</v>
      </c>
      <c r="R25">
        <f>ROUND(U13*F15*LOG(F15) / (F3*LOG(F3)),0)</f>
        <v>21505</v>
      </c>
      <c r="S25" s="29">
        <v>20000</v>
      </c>
      <c r="T25" s="29">
        <v>20000</v>
      </c>
      <c r="U25" s="29">
        <v>20000</v>
      </c>
      <c r="V25" s="29">
        <v>20000</v>
      </c>
      <c r="W25" s="29">
        <v>20000</v>
      </c>
      <c r="X25" s="86">
        <f>AVERAGE(S25:W25)</f>
        <v>20000</v>
      </c>
    </row>
    <row r="26" spans="2:24" ht="15.75" customHeight="1" x14ac:dyDescent="0.25"/>
    <row r="27" spans="2:24" ht="15.75" customHeight="1" x14ac:dyDescent="0.25"/>
    <row r="28" spans="2:24" ht="15.75" customHeight="1" x14ac:dyDescent="0.25"/>
    <row r="29" spans="2:24" ht="15.75" customHeight="1" x14ac:dyDescent="0.25"/>
    <row r="30" spans="2:24" ht="15.75" customHeight="1" x14ac:dyDescent="0.25"/>
    <row r="31" spans="2:24" ht="15.75" customHeight="1" x14ac:dyDescent="0.25"/>
    <row r="32" spans="2:24" ht="15.75" customHeight="1" x14ac:dyDescent="0.25"/>
    <row r="33" spans="3:21" ht="15.75" customHeight="1" x14ac:dyDescent="0.25"/>
    <row r="34" spans="3:21" ht="15.75" customHeight="1" x14ac:dyDescent="0.25"/>
    <row r="35" spans="3:21" ht="15.75" customHeight="1" x14ac:dyDescent="0.25"/>
    <row r="36" spans="3:21" ht="15.75" customHeight="1" x14ac:dyDescent="0.25"/>
    <row r="37" spans="3:21" ht="15.75" customHeight="1" x14ac:dyDescent="0.25"/>
    <row r="38" spans="3:21" ht="15.75" customHeight="1" x14ac:dyDescent="0.25"/>
    <row r="39" spans="3:21" ht="15.75" customHeight="1" x14ac:dyDescent="0.25"/>
    <row r="40" spans="3:21" ht="15.75" customHeight="1" x14ac:dyDescent="0.25"/>
    <row r="41" spans="3:21" ht="15.75" customHeight="1" x14ac:dyDescent="0.25"/>
    <row r="42" spans="3:21" ht="15.75" customHeight="1" x14ac:dyDescent="0.25">
      <c r="C42" s="1">
        <v>136202400</v>
      </c>
      <c r="D42" s="1">
        <v>119578900</v>
      </c>
      <c r="E42" s="1"/>
      <c r="F42" s="1"/>
      <c r="G42" s="1"/>
      <c r="H42" s="1"/>
      <c r="I42" s="1">
        <v>112510500</v>
      </c>
      <c r="J42" s="1">
        <v>119578900</v>
      </c>
      <c r="K42" s="1"/>
      <c r="L42" s="1"/>
      <c r="M42" s="1"/>
      <c r="N42" s="1"/>
      <c r="O42" s="1">
        <v>112510500</v>
      </c>
      <c r="P42" s="1">
        <v>119578900</v>
      </c>
      <c r="Q42" s="1"/>
      <c r="R42" s="1"/>
      <c r="S42" s="1"/>
      <c r="T42" s="1"/>
      <c r="U42" s="1">
        <v>112510500</v>
      </c>
    </row>
    <row r="43" spans="3:21" ht="15.75" customHeight="1" x14ac:dyDescent="0.25">
      <c r="C43" s="1">
        <v>219679200</v>
      </c>
      <c r="D43" s="1">
        <v>199543000</v>
      </c>
      <c r="E43" s="1"/>
      <c r="F43" s="1"/>
      <c r="G43" s="1"/>
      <c r="H43" s="1"/>
      <c r="I43" s="1">
        <v>99809600</v>
      </c>
      <c r="J43" s="1">
        <v>199543000</v>
      </c>
      <c r="K43" s="1"/>
      <c r="L43" s="1"/>
      <c r="M43" s="1"/>
      <c r="N43" s="1"/>
      <c r="O43" s="1">
        <v>99809600</v>
      </c>
      <c r="P43" s="1">
        <v>199543000</v>
      </c>
      <c r="Q43" s="1"/>
      <c r="R43" s="1"/>
      <c r="S43" s="1"/>
      <c r="T43" s="1"/>
      <c r="U43" s="1">
        <v>99809600</v>
      </c>
    </row>
    <row r="44" spans="3:21" ht="15.75" customHeight="1" x14ac:dyDescent="0.25">
      <c r="C44" s="1">
        <v>115686400</v>
      </c>
      <c r="D44" s="1">
        <v>91045300</v>
      </c>
      <c r="E44" s="1"/>
      <c r="F44" s="1"/>
      <c r="G44" s="1"/>
      <c r="H44" s="1"/>
      <c r="I44" s="1">
        <v>75313700</v>
      </c>
      <c r="J44" s="1">
        <v>91045300</v>
      </c>
      <c r="K44" s="1"/>
      <c r="L44" s="1"/>
      <c r="M44" s="1"/>
      <c r="N44" s="1"/>
      <c r="O44" s="1">
        <v>75313700</v>
      </c>
      <c r="P44" s="1">
        <v>91045300</v>
      </c>
      <c r="Q44" s="1"/>
      <c r="R44" s="1"/>
      <c r="S44" s="1"/>
      <c r="T44" s="1"/>
      <c r="U44" s="1">
        <v>75313700</v>
      </c>
    </row>
    <row r="45" spans="3:21" ht="15.75" customHeight="1" x14ac:dyDescent="0.25">
      <c r="C45" s="1">
        <v>101113500</v>
      </c>
      <c r="D45" s="1">
        <v>84692200</v>
      </c>
      <c r="E45" s="1"/>
      <c r="F45" s="1"/>
      <c r="G45" s="1"/>
      <c r="H45" s="1"/>
      <c r="I45" s="1">
        <v>67565400</v>
      </c>
      <c r="J45" s="1">
        <v>84692200</v>
      </c>
      <c r="K45" s="1"/>
      <c r="L45" s="1"/>
      <c r="M45" s="1"/>
      <c r="N45" s="1"/>
      <c r="O45" s="1">
        <v>67565400</v>
      </c>
      <c r="P45" s="1">
        <v>84692200</v>
      </c>
      <c r="Q45" s="1"/>
      <c r="R45" s="1"/>
      <c r="S45" s="1"/>
      <c r="T45" s="1"/>
      <c r="U45" s="1">
        <v>67565400</v>
      </c>
    </row>
    <row r="46" spans="3:21" ht="15.75" customHeight="1" x14ac:dyDescent="0.25">
      <c r="C46" s="1">
        <v>82151000</v>
      </c>
      <c r="D46" s="1">
        <v>68291900</v>
      </c>
      <c r="E46" s="1"/>
      <c r="F46" s="1"/>
      <c r="G46" s="1"/>
      <c r="H46" s="1"/>
      <c r="I46" s="1">
        <v>32426900</v>
      </c>
      <c r="J46" s="1">
        <v>68291900</v>
      </c>
      <c r="K46" s="1"/>
      <c r="L46" s="1"/>
      <c r="M46" s="1"/>
      <c r="N46" s="1"/>
      <c r="O46" s="1">
        <v>32426900</v>
      </c>
      <c r="P46" s="1">
        <v>68291900</v>
      </c>
      <c r="Q46" s="1"/>
      <c r="R46" s="1"/>
      <c r="S46" s="1"/>
      <c r="T46" s="1"/>
      <c r="U46" s="1">
        <v>32426900</v>
      </c>
    </row>
    <row r="47" spans="3:21" ht="15.75" customHeight="1" x14ac:dyDescent="0.25">
      <c r="C47" s="1">
        <v>37723100</v>
      </c>
      <c r="D47" s="1">
        <v>23003100</v>
      </c>
      <c r="E47" s="1"/>
      <c r="F47" s="1"/>
      <c r="G47" s="1"/>
      <c r="H47" s="1"/>
      <c r="I47" s="1">
        <v>18671200</v>
      </c>
      <c r="J47" s="1">
        <v>23003100</v>
      </c>
      <c r="K47" s="1"/>
      <c r="L47" s="1"/>
      <c r="M47" s="1"/>
      <c r="N47" s="1"/>
      <c r="O47" s="1">
        <v>18671200</v>
      </c>
      <c r="P47" s="1">
        <v>23003100</v>
      </c>
      <c r="Q47" s="1"/>
      <c r="R47" s="1"/>
      <c r="S47" s="1"/>
      <c r="T47" s="1"/>
      <c r="U47" s="1">
        <v>18671200</v>
      </c>
    </row>
    <row r="48" spans="3:21" ht="15.75" customHeight="1" x14ac:dyDescent="0.25">
      <c r="C48" s="1">
        <v>8326500</v>
      </c>
      <c r="D48" s="1">
        <v>1216100</v>
      </c>
      <c r="E48" s="1"/>
      <c r="F48" s="1"/>
      <c r="G48" s="1"/>
      <c r="H48" s="1"/>
      <c r="I48" s="1">
        <v>943800</v>
      </c>
      <c r="J48" s="1">
        <v>1216100</v>
      </c>
      <c r="K48" s="1"/>
      <c r="L48" s="1"/>
      <c r="M48" s="1"/>
      <c r="N48" s="1"/>
      <c r="O48" s="1">
        <v>943800</v>
      </c>
      <c r="P48" s="1">
        <v>1216100</v>
      </c>
      <c r="Q48" s="1"/>
      <c r="R48" s="1"/>
      <c r="S48" s="1"/>
      <c r="T48" s="1"/>
      <c r="U48" s="1">
        <v>943800</v>
      </c>
    </row>
    <row r="49" spans="3:21" ht="15.75" customHeight="1" x14ac:dyDescent="0.25">
      <c r="C49" s="1">
        <v>33172600</v>
      </c>
      <c r="D49" s="1">
        <v>37268800</v>
      </c>
      <c r="E49" s="1"/>
      <c r="F49" s="1"/>
      <c r="G49" s="1"/>
      <c r="H49" s="1"/>
      <c r="I49" s="1">
        <v>8325400</v>
      </c>
      <c r="J49" s="1">
        <v>37268800</v>
      </c>
      <c r="K49" s="1"/>
      <c r="L49" s="1"/>
      <c r="M49" s="1"/>
      <c r="N49" s="1"/>
      <c r="O49" s="1">
        <v>8325400</v>
      </c>
      <c r="P49" s="1">
        <v>37268800</v>
      </c>
      <c r="Q49" s="1"/>
      <c r="R49" s="1"/>
      <c r="S49" s="1"/>
      <c r="T49" s="1"/>
      <c r="U49" s="1">
        <v>8325400</v>
      </c>
    </row>
    <row r="50" spans="3:21" ht="15.75" customHeight="1" x14ac:dyDescent="0.25">
      <c r="C50" s="1">
        <v>2257500</v>
      </c>
      <c r="D50" s="1">
        <v>666300</v>
      </c>
      <c r="E50" s="1"/>
      <c r="F50" s="1"/>
      <c r="G50" s="1"/>
      <c r="H50" s="1"/>
      <c r="I50" s="1">
        <v>591000</v>
      </c>
      <c r="J50" s="1">
        <v>666300</v>
      </c>
      <c r="K50" s="1"/>
      <c r="L50" s="1"/>
      <c r="M50" s="1"/>
      <c r="N50" s="1"/>
      <c r="O50" s="1">
        <v>591000</v>
      </c>
      <c r="P50" s="1">
        <v>666300</v>
      </c>
      <c r="Q50" s="1"/>
      <c r="R50" s="1"/>
      <c r="S50" s="1"/>
      <c r="T50" s="1"/>
      <c r="U50" s="1">
        <v>591000</v>
      </c>
    </row>
    <row r="51" spans="3:21" ht="15.75" customHeight="1" x14ac:dyDescent="0.2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3:21" ht="15.75" customHeight="1" x14ac:dyDescent="0.25">
      <c r="C52" s="1">
        <v>14301486000</v>
      </c>
      <c r="D52" s="1">
        <v>14378190400</v>
      </c>
      <c r="E52" s="1"/>
      <c r="F52" s="1"/>
      <c r="G52" s="1"/>
      <c r="H52" s="1"/>
      <c r="I52" s="1">
        <v>14306071200</v>
      </c>
      <c r="J52" s="1">
        <v>14378190400</v>
      </c>
      <c r="K52" s="1"/>
      <c r="L52" s="1"/>
      <c r="M52" s="1"/>
      <c r="N52" s="1"/>
      <c r="O52" s="1">
        <v>14306071200</v>
      </c>
      <c r="P52" s="1">
        <v>14378190400</v>
      </c>
      <c r="Q52" s="1"/>
      <c r="R52" s="1"/>
      <c r="S52" s="1"/>
      <c r="T52" s="1"/>
      <c r="U52" s="1">
        <v>14306071200</v>
      </c>
    </row>
    <row r="53" spans="3:21" ht="15.75" customHeight="1" x14ac:dyDescent="0.25">
      <c r="C53" s="1">
        <v>12933515700</v>
      </c>
      <c r="D53" s="1">
        <v>12962547400</v>
      </c>
      <c r="E53" s="1"/>
      <c r="F53" s="1"/>
      <c r="G53" s="1"/>
      <c r="H53" s="1"/>
      <c r="I53" s="1">
        <v>12900347400</v>
      </c>
      <c r="J53" s="1">
        <v>12962547400</v>
      </c>
      <c r="K53" s="1"/>
      <c r="L53" s="1"/>
      <c r="M53" s="1"/>
      <c r="N53" s="1"/>
      <c r="O53" s="1">
        <v>12900347400</v>
      </c>
      <c r="P53" s="1">
        <v>12962547400</v>
      </c>
      <c r="Q53" s="1"/>
      <c r="R53" s="1"/>
      <c r="S53" s="1"/>
      <c r="T53" s="1"/>
      <c r="U53" s="1">
        <v>12900347400</v>
      </c>
    </row>
    <row r="54" spans="3:21" ht="15.75" customHeight="1" x14ac:dyDescent="0.25">
      <c r="C54" s="1">
        <v>8888055300</v>
      </c>
      <c r="D54" s="1">
        <v>8889923900</v>
      </c>
      <c r="E54" s="1"/>
      <c r="F54" s="1"/>
      <c r="G54" s="1"/>
      <c r="H54" s="1"/>
      <c r="I54" s="1">
        <v>8872204000</v>
      </c>
      <c r="J54" s="1">
        <v>8889923900</v>
      </c>
      <c r="K54" s="1"/>
      <c r="L54" s="1"/>
      <c r="M54" s="1"/>
      <c r="N54" s="1"/>
      <c r="O54" s="1">
        <v>8872204000</v>
      </c>
      <c r="P54" s="1">
        <v>8889923900</v>
      </c>
      <c r="Q54" s="1"/>
      <c r="R54" s="1"/>
      <c r="S54" s="1"/>
      <c r="T54" s="1"/>
      <c r="U54" s="1">
        <v>8872204000</v>
      </c>
    </row>
    <row r="55" spans="3:21" ht="15.75" customHeight="1" x14ac:dyDescent="0.25">
      <c r="C55" s="1">
        <v>8525859400</v>
      </c>
      <c r="D55" s="1">
        <v>8493149900</v>
      </c>
      <c r="E55" s="1"/>
      <c r="F55" s="1"/>
      <c r="G55" s="1"/>
      <c r="H55" s="1"/>
      <c r="I55" s="1">
        <v>8445180500</v>
      </c>
      <c r="J55" s="1">
        <v>8493149900</v>
      </c>
      <c r="K55" s="1"/>
      <c r="L55" s="1"/>
      <c r="M55" s="1"/>
      <c r="N55" s="1"/>
      <c r="O55" s="1">
        <v>8445180500</v>
      </c>
      <c r="P55" s="1">
        <v>8493149900</v>
      </c>
      <c r="Q55" s="1"/>
      <c r="R55" s="1"/>
      <c r="S55" s="1"/>
      <c r="T55" s="1"/>
      <c r="U55" s="1">
        <v>8445180500</v>
      </c>
    </row>
    <row r="56" spans="3:21" ht="15.75" customHeight="1" x14ac:dyDescent="0.25">
      <c r="C56" s="1">
        <v>3304466300</v>
      </c>
      <c r="D56" s="1">
        <v>3221139700</v>
      </c>
      <c r="E56" s="1"/>
      <c r="F56" s="1"/>
      <c r="G56" s="1"/>
      <c r="H56" s="1"/>
      <c r="I56" s="1">
        <v>3223687400</v>
      </c>
      <c r="J56" s="1">
        <v>3221139700</v>
      </c>
      <c r="K56" s="1"/>
      <c r="L56" s="1"/>
      <c r="M56" s="1"/>
      <c r="N56" s="1"/>
      <c r="O56" s="1">
        <v>3223687400</v>
      </c>
      <c r="P56" s="1">
        <v>3221139700</v>
      </c>
      <c r="Q56" s="1"/>
      <c r="R56" s="1"/>
      <c r="S56" s="1"/>
      <c r="T56" s="1"/>
      <c r="U56" s="1">
        <v>3223687400</v>
      </c>
    </row>
    <row r="57" spans="3:21" ht="15.75" customHeight="1" x14ac:dyDescent="0.25">
      <c r="C57" s="1">
        <v>2042394800</v>
      </c>
      <c r="D57" s="1">
        <v>2038720300</v>
      </c>
      <c r="E57" s="1"/>
      <c r="F57" s="1"/>
      <c r="G57" s="1"/>
      <c r="H57" s="1"/>
      <c r="I57" s="1">
        <v>2024537300</v>
      </c>
      <c r="J57" s="1">
        <v>2038720300</v>
      </c>
      <c r="K57" s="1"/>
      <c r="L57" s="1"/>
      <c r="M57" s="1"/>
      <c r="N57" s="1"/>
      <c r="O57" s="1">
        <v>2024537300</v>
      </c>
      <c r="P57" s="1">
        <v>2038720300</v>
      </c>
      <c r="Q57" s="1"/>
      <c r="R57" s="1"/>
      <c r="S57" s="1"/>
      <c r="T57" s="1"/>
      <c r="U57" s="1">
        <v>2024537300</v>
      </c>
    </row>
    <row r="58" spans="3:21" ht="15.75" customHeight="1" x14ac:dyDescent="0.25">
      <c r="C58" s="1">
        <v>13600800</v>
      </c>
      <c r="D58" s="1">
        <v>13825600</v>
      </c>
      <c r="E58" s="1"/>
      <c r="F58" s="1"/>
      <c r="G58" s="1"/>
      <c r="H58" s="1"/>
      <c r="I58" s="1">
        <v>13608200</v>
      </c>
      <c r="J58" s="1">
        <v>13825600</v>
      </c>
      <c r="K58" s="1"/>
      <c r="L58" s="1"/>
      <c r="M58" s="1"/>
      <c r="N58" s="1"/>
      <c r="O58" s="1">
        <v>13608200</v>
      </c>
      <c r="P58" s="1">
        <v>13825600</v>
      </c>
      <c r="Q58" s="1"/>
      <c r="R58" s="1"/>
      <c r="S58" s="1"/>
      <c r="T58" s="1"/>
      <c r="U58" s="1">
        <v>13608200</v>
      </c>
    </row>
    <row r="59" spans="3:21" ht="15.75" customHeight="1" x14ac:dyDescent="0.25">
      <c r="C59" s="1">
        <v>784349700</v>
      </c>
      <c r="D59" s="1">
        <v>807436400</v>
      </c>
      <c r="E59" s="1"/>
      <c r="F59" s="1"/>
      <c r="G59" s="1"/>
      <c r="H59" s="1"/>
      <c r="I59" s="1">
        <v>788506400</v>
      </c>
      <c r="J59" s="1">
        <v>807436400</v>
      </c>
      <c r="K59" s="1"/>
      <c r="L59" s="1"/>
      <c r="M59" s="1"/>
      <c r="N59" s="1"/>
      <c r="O59" s="1">
        <v>788506400</v>
      </c>
      <c r="P59" s="1">
        <v>807436400</v>
      </c>
      <c r="Q59" s="1"/>
      <c r="R59" s="1"/>
      <c r="S59" s="1"/>
      <c r="T59" s="1"/>
      <c r="U59" s="1">
        <v>788506400</v>
      </c>
    </row>
    <row r="60" spans="3:21" ht="15.75" customHeight="1" x14ac:dyDescent="0.25">
      <c r="C60" s="1">
        <v>7179500</v>
      </c>
      <c r="D60" s="1">
        <v>7528600</v>
      </c>
      <c r="E60" s="1"/>
      <c r="F60" s="1"/>
      <c r="G60" s="1"/>
      <c r="H60" s="1"/>
      <c r="I60" s="1">
        <v>7454100</v>
      </c>
      <c r="J60" s="1">
        <v>7528600</v>
      </c>
      <c r="K60" s="1"/>
      <c r="L60" s="1"/>
      <c r="M60" s="1"/>
      <c r="N60" s="1"/>
      <c r="O60" s="1">
        <v>7454100</v>
      </c>
      <c r="P60" s="1">
        <v>7528600</v>
      </c>
      <c r="Q60" s="1"/>
      <c r="R60" s="1"/>
      <c r="S60" s="1"/>
      <c r="T60" s="1"/>
      <c r="U60" s="1">
        <v>7454100</v>
      </c>
    </row>
    <row r="61" spans="3:21" ht="15.75" customHeight="1" x14ac:dyDescent="0.25"/>
    <row r="62" spans="3:21" ht="15.75" customHeight="1" x14ac:dyDescent="0.25"/>
    <row r="63" spans="3:21" ht="15.75" customHeight="1" x14ac:dyDescent="0.25"/>
    <row r="64" spans="3:21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F15:G15"/>
    <mergeCell ref="H15:X15"/>
    <mergeCell ref="D16:J16"/>
    <mergeCell ref="K16:Q16"/>
    <mergeCell ref="R16:X16"/>
    <mergeCell ref="D15:E15"/>
    <mergeCell ref="D3:E3"/>
    <mergeCell ref="F3:G3"/>
    <mergeCell ref="H3:U3"/>
    <mergeCell ref="D4:I4"/>
    <mergeCell ref="J4:O4"/>
    <mergeCell ref="P4:U4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X1000"/>
  <sheetViews>
    <sheetView tabSelected="1" topLeftCell="A3" zoomScale="85" zoomScaleNormal="85" workbookViewId="0">
      <selection activeCell="P30" sqref="P30"/>
    </sheetView>
  </sheetViews>
  <sheetFormatPr defaultColWidth="14.42578125" defaultRowHeight="15" customHeight="1" x14ac:dyDescent="0.25"/>
  <cols>
    <col min="1" max="1" width="1" customWidth="1"/>
    <col min="2" max="2" width="36.28515625" customWidth="1"/>
    <col min="3" max="3" width="10.7109375" customWidth="1"/>
    <col min="4" max="24" width="10.28515625" customWidth="1"/>
    <col min="25" max="26" width="8.7109375" customWidth="1"/>
  </cols>
  <sheetData>
    <row r="3" spans="2:24" ht="27" customHeight="1" x14ac:dyDescent="0.4">
      <c r="D3" s="87" t="s">
        <v>14</v>
      </c>
      <c r="E3" s="88"/>
      <c r="F3" s="89">
        <v>10000</v>
      </c>
      <c r="G3" s="88"/>
      <c r="H3" s="89" t="s">
        <v>32</v>
      </c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90"/>
    </row>
    <row r="4" spans="2:24" ht="24.75" customHeight="1" x14ac:dyDescent="0.35">
      <c r="D4" s="91" t="s">
        <v>4</v>
      </c>
      <c r="E4" s="88"/>
      <c r="F4" s="88"/>
      <c r="G4" s="88"/>
      <c r="H4" s="88"/>
      <c r="I4" s="90"/>
      <c r="J4" s="91" t="s">
        <v>5</v>
      </c>
      <c r="K4" s="88"/>
      <c r="L4" s="88"/>
      <c r="M4" s="88"/>
      <c r="N4" s="88"/>
      <c r="O4" s="90"/>
      <c r="P4" s="91" t="s">
        <v>16</v>
      </c>
      <c r="Q4" s="88"/>
      <c r="R4" s="88"/>
      <c r="S4" s="88"/>
      <c r="T4" s="88"/>
      <c r="U4" s="90"/>
    </row>
    <row r="5" spans="2:24" ht="35.25" customHeight="1" x14ac:dyDescent="0.25">
      <c r="B5" s="53" t="s">
        <v>17</v>
      </c>
      <c r="C5" s="54" t="s">
        <v>18</v>
      </c>
      <c r="D5" s="55">
        <v>1</v>
      </c>
      <c r="E5" s="56">
        <v>2</v>
      </c>
      <c r="F5" s="56">
        <v>3</v>
      </c>
      <c r="G5" s="56">
        <v>4</v>
      </c>
      <c r="H5" s="56">
        <v>5</v>
      </c>
      <c r="I5" s="57" t="s">
        <v>19</v>
      </c>
      <c r="J5" s="55">
        <v>1</v>
      </c>
      <c r="K5" s="56">
        <v>2</v>
      </c>
      <c r="L5" s="56">
        <v>3</v>
      </c>
      <c r="M5" s="56">
        <v>4</v>
      </c>
      <c r="N5" s="56">
        <v>5</v>
      </c>
      <c r="O5" s="57" t="s">
        <v>19</v>
      </c>
      <c r="P5" s="55">
        <v>1</v>
      </c>
      <c r="Q5" s="56">
        <v>2</v>
      </c>
      <c r="R5" s="56">
        <v>3</v>
      </c>
      <c r="S5" s="56">
        <v>4</v>
      </c>
      <c r="T5" s="56">
        <v>5</v>
      </c>
      <c r="U5" s="57" t="s">
        <v>19</v>
      </c>
    </row>
    <row r="6" spans="2:24" ht="21" x14ac:dyDescent="0.35">
      <c r="B6" s="58" t="s">
        <v>20</v>
      </c>
      <c r="C6" s="59" t="s">
        <v>21</v>
      </c>
      <c r="D6" s="60">
        <v>5586.16</v>
      </c>
      <c r="E6" s="14">
        <v>5545.34</v>
      </c>
      <c r="F6" s="14">
        <v>5523.68</v>
      </c>
      <c r="G6" s="14">
        <v>5493.79</v>
      </c>
      <c r="H6" s="14">
        <v>5499.41</v>
      </c>
      <c r="I6" s="46">
        <f t="shared" ref="I6:I12" si="0">AVERAGE(D6:H6)</f>
        <v>5529.6760000000004</v>
      </c>
      <c r="J6" s="60">
        <v>49994979</v>
      </c>
      <c r="K6" s="14">
        <v>49995000</v>
      </c>
      <c r="L6" s="14">
        <v>49995000</v>
      </c>
      <c r="M6" s="14">
        <v>49995000</v>
      </c>
      <c r="N6" s="14">
        <v>49995000</v>
      </c>
      <c r="O6" s="46">
        <f t="shared" ref="O6:O13" si="1">AVERAGE(J6:N6)</f>
        <v>49994995.799999997</v>
      </c>
      <c r="P6" s="60">
        <v>149919171</v>
      </c>
      <c r="Q6" s="14">
        <v>149919222</v>
      </c>
      <c r="R6" s="14">
        <v>149916699</v>
      </c>
      <c r="S6" s="14">
        <v>149913735</v>
      </c>
      <c r="T6" s="14">
        <v>149921412</v>
      </c>
      <c r="U6" s="46">
        <f t="shared" ref="U6:U13" si="2">AVERAGE(P6:T6)</f>
        <v>149918047.80000001</v>
      </c>
    </row>
    <row r="7" spans="2:24" ht="21" x14ac:dyDescent="0.35">
      <c r="B7" s="61" t="s">
        <v>22</v>
      </c>
      <c r="C7" s="62" t="s">
        <v>21</v>
      </c>
      <c r="D7" s="22">
        <v>1918.03</v>
      </c>
      <c r="E7" s="42">
        <v>1933.25</v>
      </c>
      <c r="F7" s="42">
        <v>1918.33</v>
      </c>
      <c r="G7" s="42">
        <v>1927.65</v>
      </c>
      <c r="H7" s="42">
        <v>1918.72</v>
      </c>
      <c r="I7" s="46">
        <f t="shared" si="0"/>
        <v>1923.1959999999999</v>
      </c>
      <c r="J7" s="22">
        <v>49995000</v>
      </c>
      <c r="K7" s="42">
        <v>49995000</v>
      </c>
      <c r="L7" s="42">
        <v>49995000</v>
      </c>
      <c r="M7" s="42">
        <v>49995000</v>
      </c>
      <c r="N7" s="42">
        <v>49995000</v>
      </c>
      <c r="O7" s="46">
        <f t="shared" si="1"/>
        <v>49995000</v>
      </c>
      <c r="P7" s="22">
        <v>29997</v>
      </c>
      <c r="Q7" s="42">
        <v>29997</v>
      </c>
      <c r="R7" s="42">
        <v>29997</v>
      </c>
      <c r="S7" s="42">
        <v>29997</v>
      </c>
      <c r="T7" s="42">
        <v>29997</v>
      </c>
      <c r="U7" s="46">
        <f t="shared" si="2"/>
        <v>29997</v>
      </c>
    </row>
    <row r="8" spans="2:24" ht="21" x14ac:dyDescent="0.35">
      <c r="B8" s="61" t="s">
        <v>23</v>
      </c>
      <c r="C8" s="62" t="s">
        <v>21</v>
      </c>
      <c r="D8" s="22">
        <v>4890.3999999999996</v>
      </c>
      <c r="E8" s="22">
        <v>4874.2</v>
      </c>
      <c r="F8" s="22">
        <v>4894.0200000000004</v>
      </c>
      <c r="G8" s="22">
        <v>4938.2299999999996</v>
      </c>
      <c r="H8" s="22">
        <v>5018.1000000000004</v>
      </c>
      <c r="I8" s="46">
        <f t="shared" si="0"/>
        <v>4922.99</v>
      </c>
      <c r="J8" s="22">
        <v>49978151</v>
      </c>
      <c r="K8" s="22">
        <v>49978317</v>
      </c>
      <c r="L8" s="22">
        <v>49979140</v>
      </c>
      <c r="M8" s="22">
        <v>49980543</v>
      </c>
      <c r="N8" s="22">
        <v>49977999</v>
      </c>
      <c r="O8" s="46">
        <f t="shared" si="1"/>
        <v>49978830</v>
      </c>
      <c r="P8" s="22">
        <v>149923791</v>
      </c>
      <c r="Q8" s="22">
        <v>149924370</v>
      </c>
      <c r="R8" s="22">
        <v>149926812</v>
      </c>
      <c r="S8" s="22">
        <v>149931126</v>
      </c>
      <c r="T8" s="22">
        <v>149923242</v>
      </c>
      <c r="U8" s="46">
        <f t="shared" si="2"/>
        <v>149925868.19999999</v>
      </c>
    </row>
    <row r="9" spans="2:24" ht="21" x14ac:dyDescent="0.35">
      <c r="B9" s="61" t="s">
        <v>24</v>
      </c>
      <c r="C9" s="62" t="s">
        <v>21</v>
      </c>
      <c r="D9" s="22">
        <v>2559.71</v>
      </c>
      <c r="E9" s="22">
        <v>2537.58</v>
      </c>
      <c r="F9" s="22">
        <v>2557.75</v>
      </c>
      <c r="G9" s="22">
        <v>2545.71</v>
      </c>
      <c r="H9" s="22">
        <v>2522.5300000000002</v>
      </c>
      <c r="I9" s="46">
        <f t="shared" si="0"/>
        <v>2544.6559999999999</v>
      </c>
      <c r="J9" s="22">
        <v>121641</v>
      </c>
      <c r="K9" s="22">
        <v>121658</v>
      </c>
      <c r="L9" s="22">
        <v>121690</v>
      </c>
      <c r="M9" s="22">
        <v>121643</v>
      </c>
      <c r="N9" s="22">
        <v>121732</v>
      </c>
      <c r="O9" s="46">
        <f t="shared" si="1"/>
        <v>121672.8</v>
      </c>
      <c r="P9" s="22">
        <v>49991279</v>
      </c>
      <c r="Q9" s="22">
        <v>49990627</v>
      </c>
      <c r="R9" s="22">
        <v>49993250</v>
      </c>
      <c r="S9" s="22">
        <v>49992847</v>
      </c>
      <c r="T9" s="22">
        <v>49991966</v>
      </c>
      <c r="U9" s="46">
        <f t="shared" si="2"/>
        <v>49991993.799999997</v>
      </c>
    </row>
    <row r="10" spans="2:24" ht="21" x14ac:dyDescent="0.35">
      <c r="B10" s="61" t="s">
        <v>25</v>
      </c>
      <c r="C10" s="62" t="s">
        <v>26</v>
      </c>
      <c r="D10" s="22">
        <v>1270.83</v>
      </c>
      <c r="E10" s="22">
        <v>1261.27</v>
      </c>
      <c r="F10" s="22">
        <v>1201.6400000000001</v>
      </c>
      <c r="G10" s="22">
        <v>1256.3499999999999</v>
      </c>
      <c r="H10" s="22">
        <v>1194.29</v>
      </c>
      <c r="I10" s="46">
        <f t="shared" si="0"/>
        <v>1236.876</v>
      </c>
      <c r="J10" s="22">
        <v>15841229</v>
      </c>
      <c r="K10" s="22">
        <v>15541715</v>
      </c>
      <c r="L10" s="22">
        <v>14973824</v>
      </c>
      <c r="M10" s="22">
        <v>15458915</v>
      </c>
      <c r="N10" s="22">
        <v>14696591</v>
      </c>
      <c r="O10" s="46">
        <f t="shared" si="1"/>
        <v>15302454.800000001</v>
      </c>
      <c r="P10" s="22">
        <v>27677832</v>
      </c>
      <c r="Q10" s="22">
        <v>27012999</v>
      </c>
      <c r="R10" s="22">
        <v>25873311</v>
      </c>
      <c r="S10" s="22">
        <v>26792835</v>
      </c>
      <c r="T10" s="22">
        <v>25448757</v>
      </c>
      <c r="U10" s="46">
        <f t="shared" si="2"/>
        <v>26561146.800000001</v>
      </c>
    </row>
    <row r="11" spans="2:24" ht="21" x14ac:dyDescent="0.35">
      <c r="B11" s="63" t="s">
        <v>27</v>
      </c>
      <c r="C11" s="62" t="s">
        <v>26</v>
      </c>
      <c r="D11" s="42">
        <v>16.53</v>
      </c>
      <c r="E11" s="42">
        <v>15.01</v>
      </c>
      <c r="F11" s="42">
        <v>15.03</v>
      </c>
      <c r="G11" s="42">
        <v>15.53</v>
      </c>
      <c r="H11" s="42">
        <v>15.11</v>
      </c>
      <c r="I11" s="46">
        <f t="shared" si="0"/>
        <v>15.442000000000002</v>
      </c>
      <c r="J11" s="42">
        <v>74623</v>
      </c>
      <c r="K11" s="42">
        <v>74808</v>
      </c>
      <c r="L11" s="42">
        <v>74636</v>
      </c>
      <c r="M11" s="42">
        <v>74792</v>
      </c>
      <c r="N11" s="42">
        <v>74847</v>
      </c>
      <c r="O11" s="46">
        <f t="shared" si="1"/>
        <v>74741.2</v>
      </c>
      <c r="P11" s="42">
        <v>133616</v>
      </c>
      <c r="Q11" s="42">
        <v>133616</v>
      </c>
      <c r="R11" s="42">
        <v>133616</v>
      </c>
      <c r="S11" s="42">
        <v>133616</v>
      </c>
      <c r="T11" s="42">
        <v>133616</v>
      </c>
      <c r="U11" s="46">
        <f t="shared" si="2"/>
        <v>133616</v>
      </c>
    </row>
    <row r="12" spans="2:24" ht="21" x14ac:dyDescent="0.35">
      <c r="B12" s="64" t="s">
        <v>28</v>
      </c>
      <c r="C12" s="62" t="s">
        <v>29</v>
      </c>
      <c r="D12" s="65">
        <v>7.02</v>
      </c>
      <c r="E12" s="65">
        <v>7.51</v>
      </c>
      <c r="F12" s="65">
        <v>8.0399999999999991</v>
      </c>
      <c r="G12" s="65">
        <v>7</v>
      </c>
      <c r="H12" s="65">
        <v>7.5</v>
      </c>
      <c r="I12" s="46">
        <f t="shared" si="0"/>
        <v>7.4139999999999997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46">
        <f t="shared" si="1"/>
        <v>0</v>
      </c>
      <c r="P12" s="65">
        <v>50000</v>
      </c>
      <c r="Q12" s="65">
        <v>50000</v>
      </c>
      <c r="R12" s="65">
        <v>50000</v>
      </c>
      <c r="S12" s="65">
        <v>50000</v>
      </c>
      <c r="T12" s="65">
        <v>50000</v>
      </c>
      <c r="U12" s="46">
        <f t="shared" si="2"/>
        <v>50000</v>
      </c>
    </row>
    <row r="13" spans="2:24" ht="15" customHeight="1" x14ac:dyDescent="0.35">
      <c r="B13" s="85" t="s">
        <v>46</v>
      </c>
      <c r="C13" t="s">
        <v>48</v>
      </c>
      <c r="D13" s="33">
        <v>704.15</v>
      </c>
      <c r="E13" s="33">
        <v>748.42</v>
      </c>
      <c r="F13" s="33">
        <v>717.31</v>
      </c>
      <c r="G13" s="33">
        <v>729.01</v>
      </c>
      <c r="H13" s="33">
        <v>743.9</v>
      </c>
      <c r="I13" s="86">
        <f>AVERAGE(D13:H13)</f>
        <v>728.55800000000011</v>
      </c>
      <c r="J13" s="33">
        <v>15413728</v>
      </c>
      <c r="K13" s="33">
        <v>16008127</v>
      </c>
      <c r="L13" s="33">
        <v>15601173</v>
      </c>
      <c r="M13" s="33">
        <v>15738508</v>
      </c>
      <c r="N13" s="33">
        <v>15917318</v>
      </c>
      <c r="O13" s="86">
        <f t="shared" si="1"/>
        <v>15735770.800000001</v>
      </c>
      <c r="P13" s="33">
        <v>10000</v>
      </c>
      <c r="Q13" s="33">
        <v>10000</v>
      </c>
      <c r="R13" s="33">
        <v>10000</v>
      </c>
      <c r="S13" s="33">
        <v>10000</v>
      </c>
      <c r="T13" s="33">
        <v>10000</v>
      </c>
      <c r="U13" s="86">
        <f t="shared" si="2"/>
        <v>10000</v>
      </c>
    </row>
    <row r="15" spans="2:24" ht="26.25" x14ac:dyDescent="0.4">
      <c r="D15" s="87" t="s">
        <v>14</v>
      </c>
      <c r="E15" s="88"/>
      <c r="F15" s="89">
        <v>20000</v>
      </c>
      <c r="G15" s="88"/>
      <c r="H15" s="89" t="s">
        <v>32</v>
      </c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90"/>
    </row>
    <row r="16" spans="2:24" ht="23.25" x14ac:dyDescent="0.35">
      <c r="D16" s="91" t="s">
        <v>4</v>
      </c>
      <c r="E16" s="88"/>
      <c r="F16" s="88"/>
      <c r="G16" s="88"/>
      <c r="H16" s="88"/>
      <c r="I16" s="88"/>
      <c r="J16" s="90"/>
      <c r="K16" s="91" t="s">
        <v>5</v>
      </c>
      <c r="L16" s="88"/>
      <c r="M16" s="88"/>
      <c r="N16" s="88"/>
      <c r="O16" s="88"/>
      <c r="P16" s="88"/>
      <c r="Q16" s="90"/>
      <c r="R16" s="91" t="s">
        <v>16</v>
      </c>
      <c r="S16" s="88"/>
      <c r="T16" s="88"/>
      <c r="U16" s="88"/>
      <c r="V16" s="88"/>
      <c r="W16" s="88"/>
      <c r="X16" s="90"/>
    </row>
    <row r="17" spans="2:24" ht="31.5" x14ac:dyDescent="0.25">
      <c r="B17" s="53" t="s">
        <v>17</v>
      </c>
      <c r="C17" s="54" t="s">
        <v>18</v>
      </c>
      <c r="D17" s="66" t="s">
        <v>30</v>
      </c>
      <c r="E17" s="67">
        <v>1</v>
      </c>
      <c r="F17" s="67">
        <v>2</v>
      </c>
      <c r="G17" s="67">
        <v>3</v>
      </c>
      <c r="H17" s="67">
        <v>4</v>
      </c>
      <c r="I17" s="67">
        <v>5</v>
      </c>
      <c r="J17" s="68" t="s">
        <v>19</v>
      </c>
      <c r="K17" s="66" t="s">
        <v>30</v>
      </c>
      <c r="L17" s="67">
        <v>1</v>
      </c>
      <c r="M17" s="67">
        <v>2</v>
      </c>
      <c r="N17" s="67">
        <v>3</v>
      </c>
      <c r="O17" s="67">
        <v>4</v>
      </c>
      <c r="P17" s="67">
        <v>5</v>
      </c>
      <c r="Q17" s="68" t="s">
        <v>19</v>
      </c>
      <c r="R17" s="66" t="s">
        <v>30</v>
      </c>
      <c r="S17" s="67">
        <v>1</v>
      </c>
      <c r="T17" s="67">
        <v>2</v>
      </c>
      <c r="U17" s="67">
        <v>3</v>
      </c>
      <c r="V17" s="67">
        <v>4</v>
      </c>
      <c r="W17" s="67">
        <v>5</v>
      </c>
      <c r="X17" s="68" t="s">
        <v>19</v>
      </c>
    </row>
    <row r="18" spans="2:24" ht="21" x14ac:dyDescent="0.35">
      <c r="B18" s="58" t="s">
        <v>20</v>
      </c>
      <c r="C18" s="59" t="s">
        <v>21</v>
      </c>
      <c r="D18" s="69">
        <f>I6*(F15/F3)^2</f>
        <v>22118.704000000002</v>
      </c>
      <c r="E18" s="11">
        <v>22687.96</v>
      </c>
      <c r="F18" s="11">
        <v>24120.27</v>
      </c>
      <c r="G18" s="11">
        <v>23767.97</v>
      </c>
      <c r="H18" s="11">
        <v>24424.38</v>
      </c>
      <c r="I18" s="11">
        <v>24940.21</v>
      </c>
      <c r="J18" s="70">
        <f t="shared" ref="J18:J24" si="3">AVERAGE(E18:I18)</f>
        <v>23988.158000000003</v>
      </c>
      <c r="K18" s="71">
        <f>O6*(F15/F3)^2</f>
        <v>199979983.19999999</v>
      </c>
      <c r="L18" s="11">
        <v>199990000</v>
      </c>
      <c r="M18" s="11">
        <v>199990000</v>
      </c>
      <c r="N18" s="11">
        <v>199990000</v>
      </c>
      <c r="O18" s="11">
        <v>199990000</v>
      </c>
      <c r="P18" s="11">
        <v>199990000</v>
      </c>
      <c r="Q18" s="70">
        <f t="shared" ref="Q18:Q25" si="4">AVERAGE(L18:P18)</f>
        <v>199990000</v>
      </c>
      <c r="R18" s="71">
        <f>U6*(F15/F3)^2</f>
        <v>599672191.20000005</v>
      </c>
      <c r="S18" s="11">
        <v>599835510</v>
      </c>
      <c r="T18" s="11">
        <v>599837634</v>
      </c>
      <c r="U18" s="11">
        <v>599836230</v>
      </c>
      <c r="V18" s="11">
        <v>599837955</v>
      </c>
      <c r="W18" s="11">
        <v>599833644</v>
      </c>
      <c r="X18" s="70">
        <f t="shared" ref="X18:X25" si="5">AVERAGE(S18:W18)</f>
        <v>599836194.60000002</v>
      </c>
    </row>
    <row r="19" spans="2:24" ht="21" x14ac:dyDescent="0.35">
      <c r="B19" s="61" t="s">
        <v>22</v>
      </c>
      <c r="C19" s="62" t="s">
        <v>21</v>
      </c>
      <c r="D19" s="72">
        <f>I7*(F15/F3)^2</f>
        <v>7692.7839999999997</v>
      </c>
      <c r="E19" s="19">
        <v>8228.43</v>
      </c>
      <c r="F19" s="19">
        <v>8258.3700000000008</v>
      </c>
      <c r="G19" s="19">
        <v>8420.11</v>
      </c>
      <c r="H19" s="19">
        <v>8463.99</v>
      </c>
      <c r="I19" s="19">
        <v>9146.17</v>
      </c>
      <c r="J19" s="70">
        <f t="shared" si="3"/>
        <v>8503.4140000000007</v>
      </c>
      <c r="K19" s="32">
        <f>O7*(F15/F3)^2</f>
        <v>199980000</v>
      </c>
      <c r="L19" s="19">
        <v>199990000</v>
      </c>
      <c r="M19" s="19">
        <v>199990000</v>
      </c>
      <c r="N19" s="19">
        <v>199990000</v>
      </c>
      <c r="O19" s="19">
        <v>199990000</v>
      </c>
      <c r="P19" s="19">
        <v>199990000</v>
      </c>
      <c r="Q19" s="70">
        <f t="shared" si="4"/>
        <v>199990000</v>
      </c>
      <c r="R19" s="32">
        <f>U7*(F15/F3)</f>
        <v>59994</v>
      </c>
      <c r="S19" s="19">
        <v>59997</v>
      </c>
      <c r="T19" s="19">
        <v>59997</v>
      </c>
      <c r="U19" s="19">
        <v>59997</v>
      </c>
      <c r="V19" s="19">
        <v>59997</v>
      </c>
      <c r="W19" s="19">
        <v>59997</v>
      </c>
      <c r="X19" s="70">
        <f t="shared" si="5"/>
        <v>59997</v>
      </c>
    </row>
    <row r="20" spans="2:24" ht="21" x14ac:dyDescent="0.35">
      <c r="B20" s="61" t="s">
        <v>23</v>
      </c>
      <c r="C20" s="62" t="s">
        <v>21</v>
      </c>
      <c r="D20" s="72">
        <f>I8*(F15/F3)^2</f>
        <v>19691.96</v>
      </c>
      <c r="E20" s="19">
        <v>22870.51</v>
      </c>
      <c r="F20" s="19">
        <v>22999.9</v>
      </c>
      <c r="G20" s="19">
        <v>26704.78</v>
      </c>
      <c r="H20" s="19">
        <v>20186.919999999998</v>
      </c>
      <c r="I20" s="19">
        <v>20104.45</v>
      </c>
      <c r="J20" s="70">
        <f t="shared" si="3"/>
        <v>22573.311999999998</v>
      </c>
      <c r="K20" s="32">
        <f>O8*(F15/F3)^2</f>
        <v>199915320</v>
      </c>
      <c r="L20" s="19">
        <v>199959621</v>
      </c>
      <c r="M20" s="19">
        <v>199957676</v>
      </c>
      <c r="N20" s="19">
        <v>199957157</v>
      </c>
      <c r="O20" s="19">
        <v>199960142</v>
      </c>
      <c r="P20" s="19">
        <v>199958873</v>
      </c>
      <c r="Q20" s="70">
        <f t="shared" si="4"/>
        <v>199958693.80000001</v>
      </c>
      <c r="R20" s="32">
        <f>U8*(F15/F3)^2</f>
        <v>599703472.79999995</v>
      </c>
      <c r="S20" s="19">
        <v>599857936</v>
      </c>
      <c r="T20" s="19">
        <v>599851954</v>
      </c>
      <c r="U20" s="19">
        <v>599850031</v>
      </c>
      <c r="V20" s="19">
        <v>599859571</v>
      </c>
      <c r="W20" s="19">
        <v>599855539</v>
      </c>
      <c r="X20" s="70">
        <f t="shared" si="5"/>
        <v>599855006.20000005</v>
      </c>
    </row>
    <row r="21" spans="2:24" ht="15.75" customHeight="1" x14ac:dyDescent="0.35">
      <c r="B21" s="61" t="s">
        <v>24</v>
      </c>
      <c r="C21" s="62" t="s">
        <v>21</v>
      </c>
      <c r="D21" s="72">
        <f>I9*(F15/F3)^2</f>
        <v>10178.624</v>
      </c>
      <c r="E21" s="19">
        <v>10457</v>
      </c>
      <c r="F21" s="19">
        <v>10527.81</v>
      </c>
      <c r="G21" s="19">
        <v>10817.09</v>
      </c>
      <c r="H21" s="19">
        <v>11346.35</v>
      </c>
      <c r="I21" s="19">
        <v>11434.43</v>
      </c>
      <c r="J21" s="70">
        <f t="shared" si="3"/>
        <v>10916.536</v>
      </c>
      <c r="K21" s="32">
        <f>O9*(F15/F3)^2</f>
        <v>486691.2</v>
      </c>
      <c r="L21" s="19">
        <v>263444</v>
      </c>
      <c r="M21" s="19">
        <v>263367</v>
      </c>
      <c r="N21" s="19">
        <v>263367</v>
      </c>
      <c r="O21" s="19">
        <v>263433</v>
      </c>
      <c r="P21" s="19">
        <v>263269</v>
      </c>
      <c r="Q21" s="70">
        <f t="shared" si="4"/>
        <v>263376</v>
      </c>
      <c r="R21" s="32">
        <f>U9*(F15/F3)^2</f>
        <v>199967975.19999999</v>
      </c>
      <c r="S21" s="19">
        <v>199985425</v>
      </c>
      <c r="T21" s="19">
        <v>199986030</v>
      </c>
      <c r="U21" s="19">
        <v>199984680</v>
      </c>
      <c r="V21" s="19">
        <v>199986045</v>
      </c>
      <c r="W21" s="19">
        <v>199985363</v>
      </c>
      <c r="X21" s="70">
        <f t="shared" si="5"/>
        <v>199985508.59999999</v>
      </c>
    </row>
    <row r="22" spans="2:24" ht="15.75" customHeight="1" x14ac:dyDescent="0.35">
      <c r="B22" s="61" t="s">
        <v>25</v>
      </c>
      <c r="C22" s="62" t="s">
        <v>26</v>
      </c>
      <c r="D22" s="72">
        <f>I10*(F15*LOG(F15,2))/(F3*LOG(F3,2))</f>
        <v>2659.9203884584413</v>
      </c>
      <c r="E22" s="19">
        <v>5771.26</v>
      </c>
      <c r="F22" s="19">
        <v>5380.12</v>
      </c>
      <c r="G22" s="19">
        <v>5505.11</v>
      </c>
      <c r="H22" s="19">
        <v>5258.87</v>
      </c>
      <c r="I22" s="19">
        <v>5365.34</v>
      </c>
      <c r="J22" s="70">
        <f t="shared" si="3"/>
        <v>5456.14</v>
      </c>
      <c r="K22" s="32">
        <f>O10*(F15*LOG(F15,2))/(F3*LOG(F3,2))</f>
        <v>32908158.551046137</v>
      </c>
      <c r="L22" s="19">
        <v>60370135</v>
      </c>
      <c r="M22" s="19">
        <v>59585166</v>
      </c>
      <c r="N22" s="19">
        <v>61682533</v>
      </c>
      <c r="O22" s="19">
        <v>59304657</v>
      </c>
      <c r="P22" s="19">
        <v>59823228</v>
      </c>
      <c r="Q22" s="70">
        <f t="shared" si="4"/>
        <v>60153143.799999997</v>
      </c>
      <c r="R22" s="32">
        <f>U10*(F15*LOG(F15,2))/(F3*LOG(F3,2))</f>
        <v>57120144.553017184</v>
      </c>
      <c r="S22" s="19">
        <v>104729778</v>
      </c>
      <c r="T22" s="19">
        <v>104352336</v>
      </c>
      <c r="U22" s="19">
        <v>106411395</v>
      </c>
      <c r="V22" s="19">
        <v>102628014</v>
      </c>
      <c r="W22" s="19">
        <v>103661286</v>
      </c>
      <c r="X22" s="70">
        <f t="shared" si="5"/>
        <v>104356561.8</v>
      </c>
    </row>
    <row r="23" spans="2:24" ht="15.75" customHeight="1" x14ac:dyDescent="0.35">
      <c r="B23" s="63" t="s">
        <v>27</v>
      </c>
      <c r="C23" s="62" t="s">
        <v>26</v>
      </c>
      <c r="D23" s="73">
        <f>I11*(F15*LOG(F15,2))/(F3*LOG(F3,2))</f>
        <v>33.208252596521604</v>
      </c>
      <c r="E23" s="36">
        <v>36.090000000000003</v>
      </c>
      <c r="F23" s="36">
        <v>34.270000000000003</v>
      </c>
      <c r="G23" s="36">
        <v>33.090000000000003</v>
      </c>
      <c r="H23" s="36">
        <v>33.840000000000003</v>
      </c>
      <c r="I23" s="36">
        <v>34.130000000000003</v>
      </c>
      <c r="J23" s="70">
        <f t="shared" si="3"/>
        <v>34.284000000000006</v>
      </c>
      <c r="K23" s="74">
        <f>O11*(F15*LOG(F15,2))/(F3*LOG(F3,2))</f>
        <v>160732.07155596037</v>
      </c>
      <c r="L23" s="36">
        <v>159036</v>
      </c>
      <c r="M23" s="36">
        <v>159160</v>
      </c>
      <c r="N23" s="36">
        <v>159478</v>
      </c>
      <c r="O23" s="36">
        <v>159371</v>
      </c>
      <c r="P23" s="36">
        <v>159693</v>
      </c>
      <c r="Q23" s="70">
        <f t="shared" si="4"/>
        <v>159347.6</v>
      </c>
      <c r="R23" s="74">
        <f>U11*(F15*LOG(F15,2))/(F3*LOG(F3,2))</f>
        <v>287343.21195031924</v>
      </c>
      <c r="S23" s="36">
        <v>287232</v>
      </c>
      <c r="T23" s="36">
        <v>287232</v>
      </c>
      <c r="U23" s="36">
        <v>287232</v>
      </c>
      <c r="V23" s="36">
        <v>287232</v>
      </c>
      <c r="W23" s="36">
        <v>287232</v>
      </c>
      <c r="X23" s="70">
        <f t="shared" si="5"/>
        <v>287232</v>
      </c>
    </row>
    <row r="24" spans="2:24" ht="15.75" customHeight="1" x14ac:dyDescent="0.35">
      <c r="B24" s="64" t="s">
        <v>28</v>
      </c>
      <c r="C24" s="62" t="s">
        <v>29</v>
      </c>
      <c r="D24" s="75">
        <f>I12*(F15/F3)</f>
        <v>14.827999999999999</v>
      </c>
      <c r="E24" s="39">
        <v>19.05</v>
      </c>
      <c r="F24" s="39">
        <v>18.07</v>
      </c>
      <c r="G24" s="39">
        <v>20.54</v>
      </c>
      <c r="H24" s="39">
        <v>20.100000000000001</v>
      </c>
      <c r="I24" s="39">
        <v>18.04</v>
      </c>
      <c r="J24" s="70">
        <f t="shared" si="3"/>
        <v>19.160000000000004</v>
      </c>
      <c r="K24" s="51">
        <f>O12*(F15/F3)</f>
        <v>0</v>
      </c>
      <c r="L24" s="39">
        <v>0</v>
      </c>
      <c r="M24" s="39">
        <v>0</v>
      </c>
      <c r="N24" s="39">
        <v>0</v>
      </c>
      <c r="O24" s="39">
        <v>0</v>
      </c>
      <c r="P24" s="39">
        <v>0</v>
      </c>
      <c r="Q24" s="70">
        <f t="shared" si="4"/>
        <v>0</v>
      </c>
      <c r="R24" s="51">
        <f>U12*(F15/F3)</f>
        <v>100000</v>
      </c>
      <c r="S24" s="39">
        <v>120000</v>
      </c>
      <c r="T24" s="39">
        <v>120000</v>
      </c>
      <c r="U24" s="39">
        <v>120000</v>
      </c>
      <c r="V24" s="39">
        <v>120000</v>
      </c>
      <c r="W24" s="39">
        <v>120000</v>
      </c>
      <c r="X24" s="70">
        <f t="shared" si="5"/>
        <v>120000</v>
      </c>
    </row>
    <row r="25" spans="2:24" ht="15.75" customHeight="1" x14ac:dyDescent="0.35">
      <c r="B25" s="85" t="s">
        <v>46</v>
      </c>
      <c r="C25" t="s">
        <v>48</v>
      </c>
      <c r="D25">
        <f>ROUND(I13*F15*LOG(F15) / (F3*LOG(F3)),0)</f>
        <v>1567</v>
      </c>
      <c r="E25">
        <v>3420.58</v>
      </c>
      <c r="F25">
        <v>3585.91</v>
      </c>
      <c r="G25">
        <v>4487.62</v>
      </c>
      <c r="H25">
        <v>3444.07</v>
      </c>
      <c r="I25">
        <v>3337.16</v>
      </c>
      <c r="J25" s="86">
        <f>AVERAGE(E25:I25)</f>
        <v>3655.0680000000002</v>
      </c>
      <c r="K25">
        <f>ROUND(O13*F15*LOG(F15) / (F3*LOG(F3)),0)</f>
        <v>33840011</v>
      </c>
      <c r="L25" s="29">
        <v>63518856</v>
      </c>
      <c r="M25" s="29">
        <v>63100176</v>
      </c>
      <c r="N25" s="29">
        <v>64282889</v>
      </c>
      <c r="O25" s="29">
        <v>63677736</v>
      </c>
      <c r="P25" s="29">
        <v>62851539</v>
      </c>
      <c r="Q25" s="86">
        <f t="shared" si="4"/>
        <v>63486239.200000003</v>
      </c>
      <c r="R25">
        <f>ROUND(U13*F15*LOG(F15) / (F3*LOG(F3)),0)</f>
        <v>21505</v>
      </c>
      <c r="S25" s="29">
        <v>20000</v>
      </c>
      <c r="T25" s="29">
        <v>20000</v>
      </c>
      <c r="U25" s="29">
        <v>20000</v>
      </c>
      <c r="V25" s="29">
        <v>20000</v>
      </c>
      <c r="W25" s="29">
        <v>20000</v>
      </c>
      <c r="X25" s="86">
        <f t="shared" si="5"/>
        <v>20000</v>
      </c>
    </row>
    <row r="26" spans="2:24" ht="15.75" customHeight="1" x14ac:dyDescent="0.25"/>
    <row r="27" spans="2:24" ht="15.75" customHeight="1" x14ac:dyDescent="0.25"/>
    <row r="28" spans="2:24" ht="15.75" customHeight="1" x14ac:dyDescent="0.25"/>
    <row r="29" spans="2:24" ht="15.75" customHeight="1" x14ac:dyDescent="0.25"/>
    <row r="30" spans="2:24" ht="15.75" customHeight="1" x14ac:dyDescent="0.25"/>
    <row r="31" spans="2:24" ht="15.75" customHeight="1" x14ac:dyDescent="0.25"/>
    <row r="32" spans="2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F15:G15"/>
    <mergeCell ref="H15:X15"/>
    <mergeCell ref="D16:J16"/>
    <mergeCell ref="K16:Q16"/>
    <mergeCell ref="R16:X16"/>
    <mergeCell ref="D15:E15"/>
    <mergeCell ref="D3:E3"/>
    <mergeCell ref="F3:G3"/>
    <mergeCell ref="H3:U3"/>
    <mergeCell ref="D4:I4"/>
    <mergeCell ref="J4:O4"/>
    <mergeCell ref="P4:U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F1000"/>
  <sheetViews>
    <sheetView topLeftCell="A10" zoomScale="55" zoomScaleNormal="55" workbookViewId="0">
      <selection activeCell="AI47" sqref="AI47"/>
    </sheetView>
  </sheetViews>
  <sheetFormatPr defaultColWidth="14.42578125" defaultRowHeight="15" customHeight="1" x14ac:dyDescent="0.25"/>
  <cols>
    <col min="1" max="26" width="8.7109375" customWidth="1"/>
  </cols>
  <sheetData>
    <row r="3" spans="2:23" ht="15" customHeight="1" x14ac:dyDescent="0.25">
      <c r="B3" s="76"/>
      <c r="C3" s="76"/>
      <c r="D3" s="76"/>
    </row>
    <row r="4" spans="2:23" ht="15" customHeight="1" x14ac:dyDescent="0.25">
      <c r="B4" s="77"/>
      <c r="C4" s="77"/>
      <c r="D4" s="77"/>
    </row>
    <row r="5" spans="2:23" ht="15" customHeight="1" thickBot="1" x14ac:dyDescent="0.3">
      <c r="B5" s="77"/>
      <c r="C5" s="77"/>
      <c r="D5" s="77"/>
      <c r="S5" s="82" t="s">
        <v>44</v>
      </c>
    </row>
    <row r="6" spans="2:23" ht="15" customHeight="1" thickBot="1" x14ac:dyDescent="0.3">
      <c r="B6" s="77"/>
      <c r="C6" s="77"/>
      <c r="D6" s="77"/>
      <c r="S6" s="78"/>
      <c r="T6" s="78" t="s">
        <v>7</v>
      </c>
      <c r="U6" s="78" t="s">
        <v>45</v>
      </c>
      <c r="V6" s="78" t="s">
        <v>9</v>
      </c>
      <c r="W6" s="78" t="s">
        <v>11</v>
      </c>
    </row>
    <row r="7" spans="2:23" ht="15" customHeight="1" thickBot="1" x14ac:dyDescent="0.3">
      <c r="S7" s="79" t="s">
        <v>0</v>
      </c>
      <c r="T7" s="83">
        <v>10000000</v>
      </c>
      <c r="U7" s="79">
        <v>431</v>
      </c>
      <c r="V7" s="84">
        <v>4309.97</v>
      </c>
      <c r="W7" s="84">
        <v>4121.3900000000003</v>
      </c>
    </row>
    <row r="8" spans="2:23" ht="15" customHeight="1" thickBot="1" x14ac:dyDescent="0.3">
      <c r="S8" s="79" t="s">
        <v>33</v>
      </c>
      <c r="T8" s="79">
        <v>83.1</v>
      </c>
      <c r="U8" s="79">
        <v>1.137E-2</v>
      </c>
      <c r="V8" s="79">
        <v>0.1137</v>
      </c>
      <c r="W8" s="79">
        <v>1.342E-2</v>
      </c>
    </row>
    <row r="9" spans="2:23" ht="15" customHeight="1" x14ac:dyDescent="0.25">
      <c r="D9" s="80"/>
      <c r="E9" s="81"/>
      <c r="G9" s="81"/>
    </row>
    <row r="17" spans="14:32" ht="15" customHeight="1" thickBot="1" x14ac:dyDescent="0.3"/>
    <row r="18" spans="14:32" ht="15" customHeight="1" thickBot="1" x14ac:dyDescent="0.3">
      <c r="N18" s="78"/>
      <c r="O18" s="78" t="s">
        <v>34</v>
      </c>
      <c r="P18" s="78" t="s">
        <v>35</v>
      </c>
      <c r="Q18" s="78" t="s">
        <v>36</v>
      </c>
      <c r="R18" s="78" t="s">
        <v>37</v>
      </c>
      <c r="S18" s="78" t="s">
        <v>38</v>
      </c>
      <c r="T18" s="78" t="s">
        <v>39</v>
      </c>
    </row>
    <row r="19" spans="14:32" ht="15" customHeight="1" thickBot="1" x14ac:dyDescent="0.3">
      <c r="N19" s="79" t="s">
        <v>20</v>
      </c>
      <c r="O19" s="79">
        <v>4786.66</v>
      </c>
      <c r="P19" s="79">
        <v>18051.150000000001</v>
      </c>
      <c r="Q19" s="79">
        <v>19.079999999999998</v>
      </c>
      <c r="R19" s="79">
        <v>77.63</v>
      </c>
      <c r="S19" s="79">
        <v>5529.68</v>
      </c>
      <c r="T19" s="79">
        <v>23988.16</v>
      </c>
    </row>
    <row r="20" spans="14:32" ht="15" customHeight="1" thickBot="1" x14ac:dyDescent="0.3">
      <c r="N20" s="79" t="s">
        <v>22</v>
      </c>
      <c r="O20" s="79">
        <v>1992.29</v>
      </c>
      <c r="P20" s="79">
        <v>7744.4</v>
      </c>
      <c r="Q20" s="79">
        <v>1872.63</v>
      </c>
      <c r="R20" s="79">
        <v>7490.5</v>
      </c>
      <c r="S20" s="79">
        <v>1923.2</v>
      </c>
      <c r="T20" s="79">
        <v>8503.41</v>
      </c>
    </row>
    <row r="21" spans="14:32" ht="15.75" customHeight="1" thickBot="1" x14ac:dyDescent="0.3">
      <c r="N21" s="79" t="s">
        <v>23</v>
      </c>
      <c r="O21" s="79">
        <v>2623.34</v>
      </c>
      <c r="P21" s="79">
        <v>10927.39</v>
      </c>
      <c r="Q21" s="79">
        <v>11.95</v>
      </c>
      <c r="R21" s="79">
        <v>21.21</v>
      </c>
      <c r="S21" s="79">
        <v>4922.99</v>
      </c>
      <c r="T21" s="79">
        <v>21044.53</v>
      </c>
    </row>
    <row r="22" spans="14:32" ht="15.75" customHeight="1" thickBot="1" x14ac:dyDescent="0.3">
      <c r="N22" s="79" t="s">
        <v>40</v>
      </c>
      <c r="O22" s="79">
        <v>1382.89</v>
      </c>
      <c r="P22" s="79">
        <v>5655.97</v>
      </c>
      <c r="Q22" s="79">
        <v>10.97</v>
      </c>
      <c r="R22" s="79">
        <v>43.86</v>
      </c>
      <c r="S22" s="79">
        <v>2544.67</v>
      </c>
      <c r="T22" s="79">
        <v>22573.31</v>
      </c>
    </row>
    <row r="23" spans="14:32" ht="15.75" customHeight="1" thickBot="1" x14ac:dyDescent="0.3">
      <c r="N23" s="79" t="s">
        <v>25</v>
      </c>
      <c r="O23" s="79">
        <v>13</v>
      </c>
      <c r="P23" s="79">
        <v>27.96</v>
      </c>
      <c r="Q23" s="79">
        <v>1599.81</v>
      </c>
      <c r="R23" s="79">
        <v>3440.41</v>
      </c>
      <c r="S23" s="79">
        <v>1236.8800000000001</v>
      </c>
      <c r="T23" s="79">
        <v>5456.14</v>
      </c>
    </row>
    <row r="24" spans="14:32" ht="15.75" customHeight="1" thickBot="1" x14ac:dyDescent="0.3">
      <c r="N24" s="79" t="s">
        <v>27</v>
      </c>
      <c r="O24" s="79">
        <v>19.010000000000002</v>
      </c>
      <c r="P24" s="79">
        <v>41.42</v>
      </c>
      <c r="Q24" s="79">
        <v>16.41</v>
      </c>
      <c r="R24" s="79">
        <v>35.29</v>
      </c>
      <c r="S24" s="79">
        <v>15.44</v>
      </c>
      <c r="T24" s="79">
        <v>32.08</v>
      </c>
    </row>
    <row r="25" spans="14:32" ht="15.75" customHeight="1" thickBot="1" x14ac:dyDescent="0.3">
      <c r="N25" s="79" t="s">
        <v>28</v>
      </c>
      <c r="O25" s="79">
        <v>8.8000000000000007</v>
      </c>
      <c r="P25" s="79">
        <v>17.600000000000001</v>
      </c>
      <c r="Q25" s="79">
        <v>7.4</v>
      </c>
      <c r="R25" s="79">
        <v>14.8</v>
      </c>
      <c r="S25" s="79">
        <v>7.41</v>
      </c>
      <c r="T25" s="79">
        <v>14.83</v>
      </c>
    </row>
    <row r="26" spans="14:32" ht="15.75" customHeight="1" x14ac:dyDescent="0.25"/>
    <row r="27" spans="14:32" ht="15.75" customHeight="1" thickBot="1" x14ac:dyDescent="0.3"/>
    <row r="28" spans="14:32" ht="15.75" customHeight="1" thickBot="1" x14ac:dyDescent="0.3">
      <c r="W28" s="78" t="s">
        <v>17</v>
      </c>
      <c r="X28" s="78" t="s">
        <v>34</v>
      </c>
      <c r="Y28" s="78" t="s">
        <v>35</v>
      </c>
      <c r="Z28" s="78" t="s">
        <v>41</v>
      </c>
      <c r="AA28" s="78" t="s">
        <v>36</v>
      </c>
      <c r="AB28" s="78" t="s">
        <v>37</v>
      </c>
      <c r="AC28" s="78" t="s">
        <v>42</v>
      </c>
      <c r="AD28" s="78" t="s">
        <v>38</v>
      </c>
      <c r="AE28" s="78" t="s">
        <v>39</v>
      </c>
      <c r="AF28" s="78" t="s">
        <v>43</v>
      </c>
    </row>
    <row r="29" spans="14:32" ht="15.75" customHeight="1" thickBot="1" x14ac:dyDescent="0.3">
      <c r="W29" s="79" t="s">
        <v>20</v>
      </c>
      <c r="X29" s="79">
        <v>49971654</v>
      </c>
      <c r="Y29" s="79">
        <v>199992359</v>
      </c>
      <c r="Z29" s="79">
        <v>199996388</v>
      </c>
      <c r="AA29" s="79">
        <v>369274</v>
      </c>
      <c r="AB29" s="79">
        <v>1477094</v>
      </c>
      <c r="AC29" s="79">
        <v>819090</v>
      </c>
      <c r="AD29" s="79">
        <v>49994950</v>
      </c>
      <c r="AE29" s="79">
        <v>199999783</v>
      </c>
      <c r="AF29" s="79">
        <v>199996388</v>
      </c>
    </row>
    <row r="30" spans="14:32" ht="15.75" customHeight="1" thickBot="1" x14ac:dyDescent="0.3">
      <c r="W30" s="79" t="s">
        <v>22</v>
      </c>
      <c r="X30" s="79">
        <v>49950000</v>
      </c>
      <c r="Y30" s="79">
        <v>199900000</v>
      </c>
      <c r="Z30" s="79">
        <v>199900000</v>
      </c>
      <c r="AA30" s="79">
        <v>4999500</v>
      </c>
      <c r="AB30" s="79">
        <v>199900000</v>
      </c>
      <c r="AC30" s="79">
        <v>199900000</v>
      </c>
      <c r="AD30" s="79">
        <v>49995000</v>
      </c>
      <c r="AE30" s="79">
        <v>199900000</v>
      </c>
      <c r="AF30" s="79">
        <v>199900000</v>
      </c>
    </row>
    <row r="31" spans="14:32" ht="15.75" customHeight="1" thickBot="1" x14ac:dyDescent="0.3">
      <c r="W31" s="79" t="s">
        <v>23</v>
      </c>
      <c r="X31" s="79">
        <v>25044662</v>
      </c>
      <c r="Y31" s="79">
        <v>100718649</v>
      </c>
      <c r="Z31" s="79">
        <v>99440741</v>
      </c>
      <c r="AA31" s="79">
        <v>116393</v>
      </c>
      <c r="AB31" s="79">
        <v>465572</v>
      </c>
      <c r="AC31" s="79">
        <v>252826</v>
      </c>
      <c r="AD31" s="79">
        <v>25101800</v>
      </c>
      <c r="AE31" s="79">
        <v>199951320</v>
      </c>
      <c r="AF31" s="79">
        <v>99440741</v>
      </c>
    </row>
    <row r="32" spans="14:32" ht="15.75" customHeight="1" thickBot="1" x14ac:dyDescent="0.3">
      <c r="W32" s="79" t="s">
        <v>40</v>
      </c>
      <c r="X32" s="79">
        <v>119018</v>
      </c>
      <c r="Y32" s="79">
        <v>476043</v>
      </c>
      <c r="Z32" s="79">
        <v>258004</v>
      </c>
      <c r="AA32" s="79">
        <v>116393</v>
      </c>
      <c r="AB32" s="79">
        <v>465572</v>
      </c>
      <c r="AC32" s="79">
        <v>252826</v>
      </c>
      <c r="AD32" s="79">
        <v>121678</v>
      </c>
      <c r="AE32" s="79">
        <v>486691</v>
      </c>
      <c r="AF32" s="79">
        <v>263484</v>
      </c>
    </row>
    <row r="33" spans="23:32" ht="15.75" customHeight="1" thickBot="1" x14ac:dyDescent="0.3">
      <c r="W33" s="79" t="s">
        <v>25</v>
      </c>
      <c r="X33" s="79">
        <v>125209</v>
      </c>
      <c r="Y33" s="79">
        <v>359267</v>
      </c>
      <c r="Z33" s="79">
        <v>324243</v>
      </c>
      <c r="AA33" s="79">
        <v>15549165</v>
      </c>
      <c r="AB33" s="79">
        <v>38431595</v>
      </c>
      <c r="AC33" s="79">
        <v>15784824</v>
      </c>
      <c r="AD33" s="79">
        <v>74623</v>
      </c>
      <c r="AE33" s="79">
        <v>6015314</v>
      </c>
      <c r="AF33" s="79">
        <v>5712411</v>
      </c>
    </row>
    <row r="34" spans="23:32" ht="15.75" customHeight="1" thickBot="1" x14ac:dyDescent="0.3">
      <c r="W34" s="79" t="s">
        <v>27</v>
      </c>
      <c r="X34" s="79">
        <v>120432</v>
      </c>
      <c r="Y34" s="79">
        <v>258991</v>
      </c>
      <c r="Z34" s="79">
        <v>260883</v>
      </c>
      <c r="AA34" s="79">
        <v>73400</v>
      </c>
      <c r="AB34" s="79">
        <v>157483</v>
      </c>
      <c r="AC34" s="79">
        <v>157833</v>
      </c>
      <c r="AD34" s="79">
        <v>74741</v>
      </c>
      <c r="AE34" s="79">
        <v>287343</v>
      </c>
      <c r="AF34" s="79">
        <v>287232</v>
      </c>
    </row>
    <row r="35" spans="23:32" ht="15.75" customHeight="1" thickBot="1" x14ac:dyDescent="0.3">
      <c r="W35" s="79" t="s">
        <v>28</v>
      </c>
      <c r="X35" s="79">
        <v>0</v>
      </c>
      <c r="Y35" s="79">
        <v>0</v>
      </c>
      <c r="Z35" s="79">
        <v>0</v>
      </c>
      <c r="AA35" s="79">
        <v>0</v>
      </c>
      <c r="AB35" s="79">
        <v>0</v>
      </c>
      <c r="AC35" s="79">
        <v>0</v>
      </c>
      <c r="AD35" s="79">
        <v>0</v>
      </c>
      <c r="AE35" s="79">
        <v>0</v>
      </c>
      <c r="AF35" s="79">
        <v>0</v>
      </c>
    </row>
    <row r="36" spans="23:32" ht="15.75" customHeight="1" x14ac:dyDescent="0.25"/>
    <row r="37" spans="23:32" ht="15.75" customHeight="1" thickBot="1" x14ac:dyDescent="0.3"/>
    <row r="38" spans="23:32" ht="15.75" customHeight="1" thickBot="1" x14ac:dyDescent="0.3">
      <c r="W38" s="78" t="s">
        <v>17</v>
      </c>
      <c r="X38" s="78" t="s">
        <v>34</v>
      </c>
      <c r="Y38" s="78" t="s">
        <v>35</v>
      </c>
      <c r="Z38" s="78" t="s">
        <v>36</v>
      </c>
      <c r="AA38" s="78" t="s">
        <v>37</v>
      </c>
      <c r="AB38" s="78" t="s">
        <v>38</v>
      </c>
      <c r="AC38" s="78" t="s">
        <v>39</v>
      </c>
    </row>
    <row r="39" spans="23:32" ht="15.75" customHeight="1" thickBot="1" x14ac:dyDescent="0.3">
      <c r="W39" s="79" t="s">
        <v>20</v>
      </c>
      <c r="X39" s="79">
        <v>75255576</v>
      </c>
      <c r="Y39" s="79">
        <v>299743747</v>
      </c>
      <c r="Z39" s="79">
        <v>53996</v>
      </c>
      <c r="AA39" s="79">
        <v>110527.8</v>
      </c>
      <c r="AB39" s="79">
        <v>149918048</v>
      </c>
      <c r="AC39" s="79">
        <v>599831549</v>
      </c>
    </row>
    <row r="40" spans="23:32" ht="15.75" customHeight="1" thickBot="1" x14ac:dyDescent="0.3">
      <c r="W40" s="79" t="s">
        <v>22</v>
      </c>
      <c r="X40" s="79">
        <v>29997</v>
      </c>
      <c r="Y40" s="79">
        <v>59997</v>
      </c>
      <c r="Z40" s="79">
        <v>29997</v>
      </c>
      <c r="AA40" s="79">
        <v>59997</v>
      </c>
      <c r="AB40" s="79">
        <v>29997</v>
      </c>
      <c r="AC40" s="79">
        <v>59997</v>
      </c>
    </row>
    <row r="41" spans="23:32" ht="15.75" customHeight="1" thickBot="1" x14ac:dyDescent="0.3">
      <c r="W41" s="79" t="s">
        <v>23</v>
      </c>
      <c r="X41" s="79">
        <v>75114105</v>
      </c>
      <c r="Y41" s="79">
        <v>299643152</v>
      </c>
      <c r="Z41" s="79">
        <v>62358.6</v>
      </c>
      <c r="AA41" s="79">
        <v>129331.6</v>
      </c>
      <c r="AB41" s="79">
        <v>14992688</v>
      </c>
      <c r="AC41" s="79">
        <v>59997</v>
      </c>
    </row>
    <row r="42" spans="23:32" ht="15.75" customHeight="1" thickBot="1" x14ac:dyDescent="0.3">
      <c r="W42" s="79" t="s">
        <v>40</v>
      </c>
      <c r="X42" s="79">
        <v>249606090</v>
      </c>
      <c r="Y42" s="79">
        <v>998430155</v>
      </c>
      <c r="Z42" s="79">
        <v>37928.400000000001</v>
      </c>
      <c r="AA42" s="79">
        <v>76421</v>
      </c>
      <c r="AB42" s="79">
        <v>19919000</v>
      </c>
      <c r="AC42" s="79">
        <v>59997</v>
      </c>
    </row>
    <row r="43" spans="23:32" ht="15.75" customHeight="1" thickBot="1" x14ac:dyDescent="0.3">
      <c r="W43" s="79" t="s">
        <v>25</v>
      </c>
      <c r="X43" s="79">
        <v>2465060</v>
      </c>
      <c r="Y43" s="79">
        <v>96650357</v>
      </c>
      <c r="Z43" s="79">
        <v>46595569</v>
      </c>
      <c r="AA43" s="79">
        <v>1578482459</v>
      </c>
      <c r="AB43" s="79">
        <v>256409</v>
      </c>
      <c r="AC43" s="79">
        <v>759972</v>
      </c>
    </row>
    <row r="44" spans="23:32" ht="15.75" customHeight="1" thickBot="1" x14ac:dyDescent="0.3">
      <c r="W44" s="79" t="s">
        <v>27</v>
      </c>
      <c r="X44" s="79">
        <v>133616</v>
      </c>
      <c r="Y44" s="79">
        <v>287232</v>
      </c>
      <c r="Z44" s="79">
        <v>133616</v>
      </c>
      <c r="AA44" s="79">
        <v>287232</v>
      </c>
      <c r="AB44" s="79">
        <v>133616</v>
      </c>
      <c r="AC44" s="79">
        <v>287232</v>
      </c>
    </row>
    <row r="45" spans="23:32" ht="15.75" customHeight="1" thickBot="1" x14ac:dyDescent="0.3">
      <c r="W45" s="79" t="s">
        <v>28</v>
      </c>
      <c r="X45" s="79">
        <v>52000</v>
      </c>
      <c r="Y45" s="79">
        <v>120000</v>
      </c>
      <c r="Z45" s="79">
        <v>50000</v>
      </c>
      <c r="AA45" s="79">
        <v>100000</v>
      </c>
      <c r="AB45" s="79">
        <v>50000</v>
      </c>
      <c r="AC45" s="79">
        <v>120000</v>
      </c>
    </row>
    <row r="46" spans="23:32" ht="15.75" customHeight="1" x14ac:dyDescent="0.25"/>
    <row r="47" spans="23:32" ht="15.75" customHeight="1" x14ac:dyDescent="0.25"/>
    <row r="48" spans="23:3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8740157499999996" bottom="0.78740157499999996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Search</vt:lpstr>
      <vt:lpstr>Sort rovnomerné data</vt:lpstr>
      <vt:lpstr>Sort kolísavo rastúce data</vt:lpstr>
      <vt:lpstr>Sort kolísavo klesajúce data</vt:lpstr>
      <vt:lpstr>Grafy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Zbook</dc:creator>
  <cp:lastModifiedBy>Komka Oliver</cp:lastModifiedBy>
  <dcterms:created xsi:type="dcterms:W3CDTF">2021-10-04T06:57:49Z</dcterms:created>
  <dcterms:modified xsi:type="dcterms:W3CDTF">2026-03-29T12:28:00Z</dcterms:modified>
</cp:coreProperties>
</file>